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8f019de27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629619cc79b84d1e"/>
    <x:sheet xmlns:r="http://schemas.openxmlformats.org/officeDocument/2006/relationships" name="BOQ Coverage" sheetId="2" r:id="R422ddc67226541cc"/>
    <x:sheet xmlns:r="http://schemas.openxmlformats.org/officeDocument/2006/relationships" name="QA Review" sheetId="3" r:id="R66713f637c674427"/>
    <x:sheet xmlns:r="http://schemas.openxmlformats.org/officeDocument/2006/relationships" name="Progress Report" sheetId="4" r:id="Reb49dbb8c9214f63"/>
    <x:sheet xmlns:r="http://schemas.openxmlformats.org/officeDocument/2006/relationships" name="Schedule Comparison" sheetId="5" r:id="Re5387e0a40e5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&quot;%&quot;"/>
    <x:numFmt numFmtId="201" formatCode="dd mmm yyyy"/>
    <x:numFmt numFmtId="202" formatCode="+0.0;-0.0;0.0"/>
  </x:numFmts>
  <x:fonts count="4">
    <x:font>
      <x:sz val="11"/>
      <x:color theme="1"/>
      <x:name val="Calibri"/>
      <x:family val="2"/>
      <x:scheme val="minor"/>
    </x:font>
    <x:font>
      <x:b/>
      <x:color rgb="FFFFFFFF"/>
    </x:font>
    <x:font>
      <x:sz val="11"/>
      <x:color rgb="FF282329"/>
      <x:name val="Aptos"/>
      <x:family val="2"/>
      <x:scheme val="minor"/>
    </x:font>
    <x:font>
      <x:b/>
      <x:sz val="11"/>
      <x:color rgb="FFFFFFFF"/>
      <x:name val="Aptos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6E1E36"/>
      </x:patternFill>
    </x:fill>
    <x:fill>
      <x:patternFill patternType="solid">
        <x:fgColor rgb="FFFFF2CC"/>
      </x:patternFill>
    </x:fill>
    <x:fill>
      <x:patternFill patternType="solid">
        <x:fgColor rgb="FF78163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horizontal="center"/>
    </x:xf>
    <x:xf numFmtId="0" fontId="1" fillId="2" borderId="0" xfId="0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CE0E4"/>
        </x:patternFill>
      </x:fill>
    </x:dxf>
    <x:dxf>
      <x:fill>
        <x:patternFill patternType="solid">
          <x:bgColor rgb="FFDAECE8"/>
        </x:patternFill>
      </x:fill>
    </x:dxf>
    <x:dxf>
      <x:fill>
        <x:patternFill patternType="solid">
          <x:bgColor rgb="FFE9F0FA"/>
        </x:patternFill>
      </x:fill>
    </x:dxf>
    <x:dxf>
      <x:fill>
        <x:patternFill patternType="solid"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a1190ff9f4ca7" /><Relationship Type="http://schemas.openxmlformats.org/officeDocument/2006/relationships/theme" Target="/xl/theme/theme1.xml" Id="Rf568c4d84ca9443a" /><Relationship Type="http://schemas.openxmlformats.org/officeDocument/2006/relationships/sharedStrings" Target="/xl/sharedStrings.xml" Id="Refe24d303e10493b" /><Relationship Type="http://schemas.openxmlformats.org/officeDocument/2006/relationships/worksheet" Target="/xl/worksheets/sheet1.xml" Id="R629619cc79b84d1e" /><Relationship Type="http://schemas.openxmlformats.org/officeDocument/2006/relationships/worksheet" Target="/xl/worksheets/sheet2.xml" Id="R422ddc67226541cc" /><Relationship Type="http://schemas.openxmlformats.org/officeDocument/2006/relationships/worksheet" Target="/xl/worksheets/sheet3.xml" Id="R66713f637c674427" /><Relationship Type="http://schemas.openxmlformats.org/officeDocument/2006/relationships/worksheet" Target="/xl/worksheets/sheet4.xml" Id="Reb49dbb8c9214f63" /><Relationship Type="http://schemas.openxmlformats.org/officeDocument/2006/relationships/worksheet" Target="/xl/worksheets/sheet5.xml" Id="Re5387e0a40e54b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62" customWidth="1"/>
    <x:col min="3" max="3" width="16" customWidth="1"/>
    <x:col min="4" max="4" width="18" customWidth="1"/>
    <x:col min="5" max="5" width="18" customWidth="1"/>
    <x:col min="6" max="6" width="2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Name</x:t>
        </x:is>
      </x:c>
      <x:c r="C1" s="1" t="inlineStr">
        <x:is>
          <x:t xml:space="preserve">Duration</x:t>
        </x:is>
      </x:c>
      <x:c r="D1" s="1" t="inlineStr">
        <x:is>
          <x:t xml:space="preserve">Start</x:t>
        </x:is>
      </x:c>
      <x:c r="E1" s="1" t="inlineStr">
        <x:is>
          <x:t xml:space="preserve">Finish</x:t>
        </x:is>
      </x:c>
      <x:c r="F1" s="1" t="inlineStr">
        <x:is>
          <x:t xml:space="preserve">Dependency</x:t>
        </x:is>
      </x:c>
    </x:row>
    <x:row r="2">
      <x:c r="A2" t="n">
        <x:v>1</x:v>
      </x:c>
      <x:c r="B2" t="inlineStr">
        <x:is>
          <x:t xml:space="preserve">Mobilization, insurances, site setup and controls</x:t>
        </x:is>
      </x:c>
      <x:c r="C2" t="inlineStr">
        <x:is>
          <x:t xml:space="preserve">10 days</x:t>
        </x:is>
      </x:c>
      <x:c r="D2" t="inlineStr">
        <x:is>
          <x:t xml:space="preserve">2026-10-12</x:t>
        </x:is>
      </x:c>
      <x:c r="E2" t="inlineStr">
        <x:is>
          <x:t xml:space="preserve">2026-10-25</x:t>
        </x:is>
      </x:c>
    </x:row>
    <x:row r="3">
      <x:c r="A3" t="n">
        <x:v>2</x:v>
      </x:c>
      <x:c r="B3" t="inlineStr">
        <x:is>
          <x:t xml:space="preserve">Project controls: baseline program, setting out, billboard and reporting setup</x:t>
        </x:is>
      </x:c>
      <x:c r="C3" t="inlineStr">
        <x:is>
          <x:t xml:space="preserve">6 days</x:t>
        </x:is>
      </x:c>
      <x:c r="D3" t="inlineStr">
        <x:is>
          <x:t xml:space="preserve">2026-10-12</x:t>
        </x:is>
      </x:c>
      <x:c r="E3" t="inlineStr">
        <x:is>
          <x:t xml:space="preserve">2026-10-18</x:t>
        </x:is>
      </x:c>
    </x:row>
    <x:row r="4">
      <x:c r="A4" t="n">
        <x:v>3</x:v>
      </x:c>
      <x:c r="B4" t="inlineStr">
        <x:is>
          <x:t xml:space="preserve">Shop drawings and as-built documentation framework</x:t>
        </x:is>
      </x:c>
      <x:c r="C4" t="inlineStr">
        <x:is>
          <x:t xml:space="preserve">10 days</x:t>
        </x:is>
      </x:c>
      <x:c r="D4" t="inlineStr">
        <x:is>
          <x:t xml:space="preserve">2026-10-19</x:t>
        </x:is>
      </x:c>
      <x:c r="E4" t="inlineStr">
        <x:is>
          <x:t xml:space="preserve">2026-11-01</x:t>
        </x:is>
      </x:c>
      <x:c r="F4" t="inlineStr">
        <x:is>
          <x:t xml:space="preserve">2FS</x:t>
        </x:is>
      </x:c>
    </x:row>
    <x:row r="5">
      <x:c r="A5" t="n">
        <x:v>4</x:v>
      </x:c>
      <x:c r="B5" t="inlineStr">
        <x:is>
          <x:t xml:space="preserve">Demolition and dismantling including slab/fuel room and asphalt breakout</x:t>
        </x:is>
      </x:c>
      <x:c r="C5" t="inlineStr">
        <x:is>
          <x:t xml:space="preserve">20 days</x:t>
        </x:is>
      </x:c>
      <x:c r="D5" t="inlineStr">
        <x:is>
          <x:t xml:space="preserve">2026-10-19</x:t>
        </x:is>
      </x:c>
      <x:c r="E5" t="inlineStr">
        <x:is>
          <x:t xml:space="preserve">2026-11-15</x:t>
        </x:is>
      </x:c>
      <x:c r="F5" t="inlineStr">
        <x:is>
          <x:t xml:space="preserve">1FS</x:t>
        </x:is>
      </x:c>
    </x:row>
    <x:row r="6">
      <x:c r="A6" t="n">
        <x:v>5</x:v>
      </x:c>
      <x:c r="B6" t="inlineStr">
        <x:is>
          <x:t xml:space="preserve">Bulk earthworks and excavations including contaminated soil and pits</x:t>
        </x:is>
      </x:c>
      <x:c r="C6" t="inlineStr">
        <x:is>
          <x:t xml:space="preserve">25 days</x:t>
        </x:is>
      </x:c>
      <x:c r="D6" t="inlineStr">
        <x:is>
          <x:t xml:space="preserve">2026-11-16</x:t>
        </x:is>
      </x:c>
      <x:c r="E6" t="inlineStr">
        <x:is>
          <x:t xml:space="preserve">2026-12-20</x:t>
        </x:is>
      </x:c>
      <x:c r="F6" t="inlineStr">
        <x:is>
          <x:t xml:space="preserve">4FS</x:t>
        </x:is>
      </x:c>
    </x:row>
    <x:row r="7">
      <x:c r="A7" t="n">
        <x:v>6</x:v>
      </x:c>
      <x:c r="B7" t="inlineStr">
        <x:is>
          <x:t xml:space="preserve">Blinding concrete to foundations and slab areas</x:t>
        </x:is>
      </x:c>
      <x:c r="C7" t="inlineStr">
        <x:is>
          <x:t xml:space="preserve">6 days</x:t>
        </x:is>
      </x:c>
      <x:c r="D7" t="inlineStr">
        <x:is>
          <x:t xml:space="preserve">2026-12-21</x:t>
        </x:is>
      </x:c>
      <x:c r="E7" t="inlineStr">
        <x:is>
          <x:t xml:space="preserve">2026-12-27</x:t>
        </x:is>
      </x:c>
      <x:c r="F7" t="inlineStr">
        <x:is>
          <x:t xml:space="preserve">5FS</x:t>
        </x:is>
      </x:c>
    </x:row>
    <x:row r="8">
      <x:c r="A8" t="n">
        <x:v>7</x:v>
      </x:c>
      <x:c r="B8" t="inlineStr">
        <x:is>
          <x:t xml:space="preserve">Structural concrete foundations, columns/walls to roof, manholes, stairs, pads</x:t>
        </x:is>
      </x:c>
      <x:c r="C8" t="inlineStr">
        <x:is>
          <x:t xml:space="preserve">90 days</x:t>
        </x:is>
      </x:c>
      <x:c r="D8" t="inlineStr">
        <x:is>
          <x:t xml:space="preserve">2026-12-28</x:t>
        </x:is>
      </x:c>
      <x:c r="E8" t="inlineStr">
        <x:is>
          <x:t xml:space="preserve">2027-04-01</x:t>
        </x:is>
      </x:c>
      <x:c r="F8" t="inlineStr">
        <x:is>
          <x:t xml:space="preserve">6FS</x:t>
        </x:is>
      </x:c>
    </x:row>
    <x:row r="9">
      <x:c r="A9" t="n">
        <x:v>8</x:v>
      </x:c>
      <x:c r="B9" t="inlineStr">
        <x:is>
          <x:t xml:space="preserve">Concrete curing, inspection and below-grade waterproofing and protection</x:t>
        </x:is>
      </x:c>
      <x:c r="C9" t="inlineStr">
        <x:is>
          <x:t xml:space="preserve">20 days</x:t>
        </x:is>
      </x:c>
      <x:c r="D9" t="inlineStr">
        <x:is>
          <x:t xml:space="preserve">2027-01-15</x:t>
        </x:is>
      </x:c>
      <x:c r="E9" t="inlineStr">
        <x:is>
          <x:t xml:space="preserve">2027-02-07</x:t>
        </x:is>
      </x:c>
      <x:c r="F9" t="inlineStr">
        <x:is>
          <x:t xml:space="preserve">7SS+12d,7FF</x:t>
        </x:is>
      </x:c>
    </x:row>
    <x:row r="10">
      <x:c r="A10" t="n">
        <x:v>9</x:v>
      </x:c>
      <x:c r="B10" t="inlineStr">
        <x:is>
          <x:t xml:space="preserve">Backfilling and compaction to foundations and site</x:t>
        </x:is>
      </x:c>
      <x:c r="C10" t="inlineStr">
        <x:is>
          <x:t xml:space="preserve">15 days</x:t>
        </x:is>
      </x:c>
      <x:c r="D10" t="inlineStr">
        <x:is>
          <x:t xml:space="preserve">2027-02-08</x:t>
        </x:is>
      </x:c>
      <x:c r="E10" t="inlineStr">
        <x:is>
          <x:t xml:space="preserve">2027-02-24</x:t>
        </x:is>
      </x:c>
      <x:c r="F10" t="inlineStr">
        <x:is>
          <x:t xml:space="preserve">8FS</x:t>
        </x:is>
      </x:c>
    </x:row>
    <x:row r="11">
      <x:c r="A11" t="n">
        <x:v>10</x:v>
      </x:c>
      <x:c r="B11" t="inlineStr">
        <x:is>
          <x:t xml:space="preserve">Masonry/blockwork internal and external walls</x:t>
        </x:is>
      </x:c>
      <x:c r="C11" t="inlineStr">
        <x:is>
          <x:t xml:space="preserve">45 days</x:t>
        </x:is>
      </x:c>
      <x:c r="D11" t="inlineStr">
        <x:is>
          <x:t xml:space="preserve">2027-02-01</x:t>
        </x:is>
      </x:c>
      <x:c r="E11" t="inlineStr">
        <x:is>
          <x:t xml:space="preserve">2027-03-22</x:t>
        </x:is>
      </x:c>
      <x:c r="F11" t="inlineStr">
        <x:is>
          <x:t xml:space="preserve">7SS+20d</x:t>
        </x:is>
      </x:c>
    </x:row>
    <x:row r="12">
      <x:c r="A12" t="n">
        <x:v>11</x:v>
      </x:c>
      <x:c r="B12" t="inlineStr">
        <x:is>
          <x:t xml:space="preserve">Roof substrate and waterproofing system including testing and protection</x:t>
        </x:is>
      </x:c>
      <x:c r="C12" t="inlineStr">
        <x:is>
          <x:t xml:space="preserve">20 days</x:t>
        </x:is>
      </x:c>
      <x:c r="D12" t="inlineStr">
        <x:is>
          <x:t xml:space="preserve">2027-03-01</x:t>
        </x:is>
      </x:c>
      <x:c r="E12" t="inlineStr">
        <x:is>
          <x:t xml:space="preserve">2027-03-26</x:t>
        </x:is>
      </x:c>
      <x:c r="F12" t="inlineStr">
        <x:is>
          <x:t xml:space="preserve">7FS+30d</x:t>
        </x:is>
      </x:c>
    </x:row>
    <x:row r="13">
      <x:c r="A13" t="n">
        <x:v>12</x:v>
      </x:c>
      <x:c r="B13" t="inlineStr">
        <x:is>
          <x:t xml:space="preserve">Underground and rough-in drainage and water supply incl. manholes and connections</x:t>
        </x:is>
      </x:c>
      <x:c r="C13" t="inlineStr">
        <x:is>
          <x:t xml:space="preserve">35 days</x:t>
        </x:is>
      </x:c>
      <x:c r="D13" t="inlineStr">
        <x:is>
          <x:t xml:space="preserve">2027-02-12</x:t>
        </x:is>
      </x:c>
      <x:c r="E13" t="inlineStr">
        <x:is>
          <x:t xml:space="preserve">2027-03-27</x:t>
        </x:is>
      </x:c>
      <x:c r="F13" t="inlineStr">
        <x:is>
          <x:t xml:space="preserve">9SS,7SS+20d</x:t>
        </x:is>
      </x:c>
    </x:row>
    <x:row r="14">
      <x:c r="A14" t="n">
        <x:v>13</x:v>
      </x:c>
      <x:c r="B14" t="inlineStr">
        <x:is>
          <x:t xml:space="preserve">MEP first fix: water supply, heating, ductwork, fans, trays and earthing/lighting protection rough-in</x:t>
        </x:is>
      </x:c>
      <x:c r="C14" t="inlineStr">
        <x:is>
          <x:t xml:space="preserve">60 days</x:t>
        </x:is>
      </x:c>
      <x:c r="D14" t="inlineStr">
        <x:is>
          <x:t xml:space="preserve">2027-03-04</x:t>
        </x:is>
      </x:c>
      <x:c r="E14" t="inlineStr">
        <x:is>
          <x:t xml:space="preserve">2027-05-02</x:t>
        </x:is>
      </x:c>
      <x:c r="F14" t="inlineStr">
        <x:is>
          <x:t xml:space="preserve">10SS+10d,7SS+40d</x:t>
        </x:is>
      </x:c>
    </x:row>
    <x:row r="15">
      <x:c r="A15" t="n">
        <x:v>14</x:v>
      </x:c>
      <x:c r="B15" t="inlineStr">
        <x:is>
          <x:t xml:space="preserve">Concealed-work inspections and service pressure/leak tests</x:t>
        </x:is>
      </x:c>
      <x:c r="C15" t="inlineStr">
        <x:is>
          <x:t xml:space="preserve">10 days</x:t>
        </x:is>
      </x:c>
      <x:c r="D15" t="inlineStr">
        <x:is>
          <x:t xml:space="preserve">2027-05-03</x:t>
        </x:is>
      </x:c>
      <x:c r="E15" t="inlineStr">
        <x:is>
          <x:t xml:space="preserve">2027-05-13</x:t>
        </x:is>
      </x:c>
      <x:c r="F15" t="inlineStr">
        <x:is>
          <x:t xml:space="preserve">13FS</x:t>
        </x:is>
      </x:c>
    </x:row>
    <x:row r="16">
      <x:c r="A16" t="n">
        <x:v>15</x:v>
      </x:c>
      <x:c r="B16" t="inlineStr">
        <x:is>
          <x:t xml:space="preserve">Internal/external plaster and concrete crack rehabilitation</x:t>
        </x:is>
      </x:c>
      <x:c r="C16" t="inlineStr">
        <x:is>
          <x:t xml:space="preserve">40 days</x:t>
        </x:is>
      </x:c>
      <x:c r="D16" t="inlineStr">
        <x:is>
          <x:t xml:space="preserve">2027-03-23</x:t>
        </x:is>
      </x:c>
      <x:c r="E16" t="inlineStr">
        <x:is>
          <x:t xml:space="preserve">2027-05-17</x:t>
        </x:is>
      </x:c>
      <x:c r="F16" t="inlineStr">
        <x:is>
          <x:t xml:space="preserve">10FS+1d</x:t>
        </x:is>
      </x:c>
    </x:row>
    <x:row r="17">
      <x:c r="A17" t="n">
        <x:v>16</x:v>
      </x:c>
      <x:c r="B17" t="inlineStr">
        <x:is>
          <x:t xml:space="preserve">Wet area build-ups: first fix, screed, PU waterproofing and tests</x:t>
        </x:is>
      </x:c>
      <x:c r="C17" t="inlineStr">
        <x:is>
          <x:t xml:space="preserve">25 days</x:t>
        </x:is>
      </x:c>
      <x:c r="D17" t="inlineStr">
        <x:is>
          <x:t xml:space="preserve">2027-05-14</x:t>
        </x:is>
      </x:c>
      <x:c r="E17" t="inlineStr">
        <x:is>
          <x:t xml:space="preserve">2027-06-12</x:t>
        </x:is>
      </x:c>
      <x:c r="F17" t="inlineStr">
        <x:is>
          <x:t xml:space="preserve">14FS,11FS</x:t>
        </x:is>
      </x:c>
    </x:row>
    <x:row r="18">
      <x:c r="A18" t="n">
        <x:v>17</x:v>
      </x:c>
      <x:c r="B18" t="inlineStr">
        <x:is>
          <x:t xml:space="preserve">Ceilings grid and bulkheads, closure after inspections</x:t>
        </x:is>
      </x:c>
      <x:c r="C18" t="inlineStr">
        <x:is>
          <x:t xml:space="preserve">25 days</x:t>
        </x:is>
      </x:c>
      <x:c r="D18" t="inlineStr">
        <x:is>
          <x:t xml:space="preserve">2027-05-14</x:t>
        </x:is>
      </x:c>
      <x:c r="E18" t="inlineStr">
        <x:is>
          <x:t xml:space="preserve">2027-06-12</x:t>
        </x:is>
      </x:c>
      <x:c r="F18" t="inlineStr">
        <x:is>
          <x:t xml:space="preserve">14FS</x:t>
        </x:is>
      </x:c>
    </x:row>
    <x:row r="19">
      <x:c r="A19" t="n">
        <x:v>18</x:v>
      </x:c>
      <x:c r="B19" t="inlineStr">
        <x:is>
          <x:t xml:space="preserve">Floor and wall finishes including tiles, skirtings, thresholds, terrazzo and epoxy</x:t>
        </x:is>
      </x:c>
      <x:c r="C19" t="inlineStr">
        <x:is>
          <x:t xml:space="preserve">45 days</x:t>
        </x:is>
      </x:c>
      <x:c r="D19" t="inlineStr">
        <x:is>
          <x:t xml:space="preserve">2027-06-13</x:t>
        </x:is>
      </x:c>
      <x:c r="E19" t="inlineStr">
        <x:is>
          <x:t xml:space="preserve">2027-07-27</x:t>
        </x:is>
      </x:c>
      <x:c r="F19" t="inlineStr">
        <x:is>
          <x:t xml:space="preserve">16FS,15FS+10d</x:t>
        </x:is>
      </x:c>
    </x:row>
    <x:row r="20">
      <x:c r="A20" t="n">
        <x:v>19</x:v>
      </x:c>
      <x:c r="B20" t="inlineStr">
        <x:is>
          <x:t xml:space="preserve">External metallic structures, handrails, ladders, sheets and shed</x:t>
        </x:is>
      </x:c>
      <x:c r="C20" t="inlineStr">
        <x:is>
          <x:t xml:space="preserve">35 days</x:t>
        </x:is>
      </x:c>
      <x:c r="D20" t="inlineStr">
        <x:is>
          <x:t xml:space="preserve">2027-04-02</x:t>
        </x:is>
      </x:c>
      <x:c r="E20" t="inlineStr">
        <x:is>
          <x:t xml:space="preserve">2027-05-16</x:t>
        </x:is>
      </x:c>
      <x:c r="F20" t="inlineStr">
        <x:is>
          <x:t xml:space="preserve">7FS</x:t>
        </x:is>
      </x:c>
    </x:row>
    <x:row r="21">
      <x:c r="A21" t="n">
        <x:v>20</x:v>
      </x:c>
      <x:c r="B21" t="inlineStr">
        <x:is>
          <x:t xml:space="preserve">Glazing, curtain walls, doors and windows installation</x:t>
        </x:is>
      </x:c>
      <x:c r="C21" t="inlineStr">
        <x:is>
          <x:t xml:space="preserve">25 days</x:t>
        </x:is>
      </x:c>
      <x:c r="D21" t="inlineStr">
        <x:is>
          <x:t xml:space="preserve">2027-06-03</x:t>
        </x:is>
      </x:c>
      <x:c r="E21" t="inlineStr">
        <x:is>
          <x:t xml:space="preserve">2027-06-29</x:t>
        </x:is>
      </x:c>
      <x:c r="F21" t="inlineStr">
        <x:is>
          <x:t xml:space="preserve">15SS+20d</x:t>
        </x:is>
      </x:c>
    </x:row>
    <x:row r="22">
      <x:c r="A22" t="n">
        <x:v>21</x:v>
      </x:c>
      <x:c r="B22" t="inlineStr">
        <x:is>
          <x:t xml:space="preserve">Painting internal and external including fair-faced coatings</x:t>
        </x:is>
      </x:c>
      <x:c r="C22" t="inlineStr">
        <x:is>
          <x:t xml:space="preserve">30 days</x:t>
        </x:is>
      </x:c>
      <x:c r="D22" t="inlineStr">
        <x:is>
          <x:t xml:space="preserve">2027-07-01</x:t>
        </x:is>
      </x:c>
      <x:c r="E22" t="inlineStr">
        <x:is>
          <x:t xml:space="preserve">2027-07-31</x:t>
        </x:is>
      </x:c>
      <x:c r="F22" t="inlineStr">
        <x:is>
          <x:t xml:space="preserve">18SS+5d,20SS+5d</x:t>
        </x:is>
      </x:c>
    </x:row>
    <x:row r="23">
      <x:c r="A23" t="n">
        <x:v>22</x:v>
      </x:c>
      <x:c r="B23" t="inlineStr">
        <x:is>
          <x:t xml:space="preserve">Electrical second fix: devices, luminaires and cabling terminations</x:t>
        </x:is>
      </x:c>
      <x:c r="C23" t="inlineStr">
        <x:is>
          <x:t xml:space="preserve">30 days</x:t>
        </x:is>
      </x:c>
      <x:c r="D23" t="inlineStr">
        <x:is>
          <x:t xml:space="preserve">2027-07-15</x:t>
        </x:is>
      </x:c>
      <x:c r="E23" t="inlineStr">
        <x:is>
          <x:t xml:space="preserve">2027-08-13</x:t>
        </x:is>
      </x:c>
      <x:c r="F23" t="inlineStr">
        <x:is>
          <x:t xml:space="preserve">17FS,20SS+5d</x:t>
        </x:is>
      </x:c>
    </x:row>
    <x:row r="24">
      <x:c r="A24" t="n">
        <x:v>23</x:v>
      </x:c>
      <x:c r="B24" t="inlineStr">
        <x:is>
          <x:t xml:space="preserve">Plumbing and sanitary second fix including fixtures and accessories</x:t>
        </x:is>
      </x:c>
      <x:c r="C24" t="inlineStr">
        <x:is>
          <x:t xml:space="preserve">20 days</x:t>
        </x:is>
      </x:c>
      <x:c r="D24" t="inlineStr">
        <x:is>
          <x:t xml:space="preserve">2027-07-28</x:t>
        </x:is>
      </x:c>
      <x:c r="E24" t="inlineStr">
        <x:is>
          <x:t xml:space="preserve">2027-08-19</x:t>
        </x:is>
      </x:c>
      <x:c r="F24" t="inlineStr">
        <x:is>
          <x:t xml:space="preserve">16FS+30d,18SS+10d</x:t>
        </x:is>
      </x:c>
    </x:row>
    <x:row r="25">
      <x:c r="A25" t="n">
        <x:v>24</x:v>
      </x:c>
      <x:c r="B25" t="inlineStr">
        <x:is>
          <x:t xml:space="preserve">Low current systems installation, terminations and testing (CCTV, ICT, TV)</x:t>
        </x:is>
      </x:c>
      <x:c r="C25" t="inlineStr">
        <x:is>
          <x:t xml:space="preserve">25 days</x:t>
        </x:is>
      </x:c>
      <x:c r="D25" t="inlineStr">
        <x:is>
          <x:t xml:space="preserve">2027-08-14</x:t>
        </x:is>
      </x:c>
      <x:c r="E25" t="inlineStr">
        <x:is>
          <x:t xml:space="preserve">2027-09-12</x:t>
        </x:is>
      </x:c>
      <x:c r="F25" t="inlineStr">
        <x:is>
          <x:t xml:space="preserve">22SS,20FS</x:t>
        </x:is>
      </x:c>
    </x:row>
    <x:row r="26">
      <x:c r="A26" t="n">
        <x:v>25</x:v>
      </x:c>
      <x:c r="B26" t="inlineStr">
        <x:is>
          <x:t xml:space="preserve">PV system, inverter, battery and cabling installation</x:t>
        </x:is>
      </x:c>
      <x:c r="C26" t="inlineStr">
        <x:is>
          <x:t xml:space="preserve">20 days</x:t>
        </x:is>
      </x:c>
      <x:c r="D26" t="inlineStr">
        <x:is>
          <x:t xml:space="preserve">2027-08-20</x:t>
        </x:is>
      </x:c>
      <x:c r="E26" t="inlineStr">
        <x:is>
          <x:t xml:space="preserve">2027-09-16</x:t>
        </x:is>
      </x:c>
      <x:c r="F26" t="inlineStr">
        <x:is>
          <x:t xml:space="preserve">11FS+30d</x:t>
        </x:is>
      </x:c>
    </x:row>
    <x:row r="27">
      <x:c r="A27" t="n">
        <x:v>26</x:v>
      </x:c>
      <x:c r="B27" t="inlineStr">
        <x:is>
          <x:t xml:space="preserve">Power systems energization: generator install/relocate, UPS and ATS integration</x:t>
        </x:is>
      </x:c>
      <x:c r="C27" t="inlineStr">
        <x:is>
          <x:t xml:space="preserve">20 days</x:t>
        </x:is>
      </x:c>
      <x:c r="D27" t="inlineStr">
        <x:is>
          <x:t xml:space="preserve">2027-09-02</x:t>
        </x:is>
      </x:c>
      <x:c r="E27" t="inlineStr">
        <x:is>
          <x:t xml:space="preserve">2027-09-29</x:t>
        </x:is>
      </x:c>
      <x:c r="F27" t="inlineStr">
        <x:is>
          <x:t xml:space="preserve">22FS+5d,19FS</x:t>
        </x:is>
      </x:c>
    </x:row>
    <x:row r="28">
      <x:c r="A28" t="n">
        <x:v>27</x:v>
      </x:c>
      <x:c r="B28" t="inlineStr">
        <x:is>
          <x:t xml:space="preserve">Lift installation and commissioning</x:t>
        </x:is>
      </x:c>
      <x:c r="C28" t="inlineStr">
        <x:is>
          <x:t xml:space="preserve">40 days</x:t>
        </x:is>
      </x:c>
      <x:c r="D28" t="inlineStr">
        <x:is>
          <x:t xml:space="preserve">2027-08-01</x:t>
        </x:is>
      </x:c>
      <x:c r="E28" t="inlineStr">
        <x:is>
          <x:t xml:space="preserve">2027-09-26</x:t>
        </x:is>
      </x:c>
      <x:c r="F28" t="inlineStr">
        <x:is>
          <x:t xml:space="preserve">7FS+90d</x:t>
        </x:is>
      </x:c>
    </x:row>
    <x:row r="29">
      <x:c r="A29" t="n">
        <x:v>28</x:v>
      </x:c>
      <x:c r="B29" t="inlineStr">
        <x:is>
          <x:t xml:space="preserve">Joinery and casework installation and waste bins</x:t>
        </x:is>
      </x:c>
      <x:c r="C29" t="inlineStr">
        <x:is>
          <x:t xml:space="preserve">15 days</x:t>
        </x:is>
      </x:c>
      <x:c r="D29" t="inlineStr">
        <x:is>
          <x:t xml:space="preserve">2027-07-29</x:t>
        </x:is>
      </x:c>
      <x:c r="E29" t="inlineStr">
        <x:is>
          <x:t xml:space="preserve">2027-08-14</x:t>
        </x:is>
      </x:c>
      <x:c r="F29" t="inlineStr">
        <x:is>
          <x:t xml:space="preserve">18SS+10d</x:t>
        </x:is>
      </x:c>
    </x:row>
    <x:row r="30">
      <x:c r="A30" t="n">
        <x:v>29</x:v>
      </x:c>
      <x:c r="B30" t="inlineStr">
        <x:is>
          <x:t xml:space="preserve">Facade protective coatings completion and external works tie-ins</x:t>
        </x:is>
      </x:c>
      <x:c r="C30" t="inlineStr">
        <x:is>
          <x:t xml:space="preserve">10 days</x:t>
        </x:is>
      </x:c>
      <x:c r="D30" t="inlineStr">
        <x:is>
          <x:t xml:space="preserve">2027-07-22</x:t>
        </x:is>
      </x:c>
      <x:c r="E30" t="inlineStr">
        <x:is>
          <x:t xml:space="preserve">2027-08-01</x:t>
        </x:is>
      </x:c>
      <x:c r="F30" t="inlineStr">
        <x:is>
          <x:t xml:space="preserve">11FS+10d</x:t>
        </x:is>
      </x:c>
    </x:row>
    <x:row r="31">
      <x:c r="A31" t="n">
        <x:v>30</x:v>
      </x:c>
      <x:c r="B31" t="inlineStr">
        <x:is>
          <x:t xml:space="preserve">Systems pre-commissioning, testing and training</x:t>
        </x:is>
      </x:c>
      <x:c r="C31" t="inlineStr">
        <x:is>
          <x:t xml:space="preserve">20 days</x:t>
        </x:is>
      </x:c>
      <x:c r="D31" t="inlineStr">
        <x:is>
          <x:t xml:space="preserve">2027-09-30</x:t>
        </x:is>
      </x:c>
      <x:c r="E31" t="inlineStr">
        <x:is>
          <x:t xml:space="preserve">2027-10-27</x:t>
        </x:is>
      </x:c>
      <x:c r="F31" t="inlineStr">
        <x:is>
          <x:t xml:space="preserve">22FS,23FS,24FS,25FS,26FS,27FS</x:t>
        </x:is>
      </x:c>
    </x:row>
    <x:row r="32">
      <x:c r="A32" t="n">
        <x:v>31</x:v>
      </x:c>
      <x:c r="B32" t="inlineStr">
        <x:is>
          <x:t xml:space="preserve">Fire alarm and firefighting commissioning and integration tests</x:t>
        </x:is>
      </x:c>
      <x:c r="C32" t="inlineStr">
        <x:is>
          <x:t xml:space="preserve">15 days</x:t>
        </x:is>
      </x:c>
      <x:c r="D32" t="inlineStr">
        <x:is>
          <x:t xml:space="preserve">2027-08-20</x:t>
        </x:is>
      </x:c>
      <x:c r="E32" t="inlineStr">
        <x:is>
          <x:t xml:space="preserve">2027-09-09</x:t>
        </x:is>
      </x:c>
      <x:c r="F32" t="inlineStr">
        <x:is>
          <x:t xml:space="preserve">22SS+20d</x:t>
        </x:is>
      </x:c>
    </x:row>
    <x:row r="33">
      <x:c r="A33" t="n">
        <x:v>32</x:v>
      </x:c>
      <x:c r="B33" t="inlineStr">
        <x:is>
          <x:t xml:space="preserve">As-built documentation, O&amp;M manuals and final approvals</x:t>
        </x:is>
      </x:c>
      <x:c r="C33" t="inlineStr">
        <x:is>
          <x:t xml:space="preserve">20 days</x:t>
        </x:is>
      </x:c>
      <x:c r="D33" t="inlineStr">
        <x:is>
          <x:t xml:space="preserve">2027-10-28</x:t>
        </x:is>
      </x:c>
      <x:c r="E33" t="inlineStr">
        <x:is>
          <x:t xml:space="preserve">2027-11-24</x:t>
        </x:is>
      </x:c>
      <x:c r="F33" t="inlineStr">
        <x:is>
          <x:t xml:space="preserve">30FS+1d,31FS</x:t>
        </x:is>
      </x:c>
    </x:row>
    <x:row r="34">
      <x:c r="A34" t="n">
        <x:v>33</x:v>
      </x:c>
      <x:c r="B34" t="inlineStr">
        <x:is>
          <x:t xml:space="preserve">Handover, snagging and demobilization</x:t>
        </x:is>
      </x:c>
      <x:c r="C34" t="inlineStr">
        <x:is>
          <x:t xml:space="preserve">12 days</x:t>
        </x:is>
      </x:c>
      <x:c r="D34" t="inlineStr">
        <x:is>
          <x:t xml:space="preserve">2027-11-25</x:t>
        </x:is>
      </x:c>
      <x:c r="E34" t="inlineStr">
        <x:is>
          <x:t xml:space="preserve">2027-12-07</x:t>
        </x:is>
      </x:c>
      <x:c r="F34" t="inlineStr">
        <x:is>
          <x:t xml:space="preserve">32FS</x:t>
        </x:is>
      </x:c>
    </x:row>
    <x:row r="35">
      <x:c r="A35" t="n">
        <x:v>34</x:v>
      </x:c>
      <x:c r="B35" t="inlineStr">
        <x:is>
          <x:t xml:space="preserve">Access and commissioning logistics, authority interfaces</x:t>
        </x:is>
      </x:c>
      <x:c r="C35" t="inlineStr">
        <x:is>
          <x:t xml:space="preserve">10 days</x:t>
        </x:is>
      </x:c>
      <x:c r="D35" t="inlineStr">
        <x:is>
          <x:t xml:space="preserve">2027-09-10</x:t>
        </x:is>
      </x:c>
      <x:c r="E35" t="inlineStr">
        <x:is>
          <x:t xml:space="preserve">2027-09-21</x:t>
        </x:is>
      </x:c>
      <x:c r="F35" t="inlineStr">
        <x:is>
          <x:t xml:space="preserve">31FS+1d</x:t>
        </x:is>
      </x:c>
    </x:row>
    <x:row r="36">
      <x:c r="A36" t="n">
        <x:v>35</x:v>
      </x:c>
      <x:c r="B36" t="inlineStr">
        <x:is>
          <x:t xml:space="preserve">Project environmental closeout and waste management finalization</x:t>
        </x:is>
      </x:c>
      <x:c r="C36" t="inlineStr">
        <x:is>
          <x:t xml:space="preserve">5 days</x:t>
        </x:is>
      </x:c>
      <x:c r="D36" t="inlineStr">
        <x:is>
          <x:t xml:space="preserve">2027-12-08</x:t>
        </x:is>
      </x:c>
      <x:c r="E36" t="inlineStr">
        <x:is>
          <x:t xml:space="preserve">2027-12-12</x:t>
        </x:is>
      </x:c>
      <x:c r="F36" t="inlineStr">
        <x:is>
          <x:t xml:space="preserve">33FS+1d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hidden="0" customWidth="1"/>
    <x:col min="2" max="2" width="90" hidden="0" customWidth="1"/>
    <x:col min="3" max="3" width="16" hidden="0" customWidth="1"/>
    <x:col min="4" max="4" width="14" hidden="0" customWidth="1"/>
    <x:col min="5" max="5" width="25" hidden="0" customWidth="1"/>
    <x:col min="6" max="6" width="30" hidden="0" customWidth="1"/>
    <x:col min="7" max="7" width="16" hidden="0" customWidth="1"/>
  </x:cols>
  <x:sheetData>
    <x:row r="1" ht="34" customHeight="1">
      <x:c r="A1" s="25" t="inlineStr">
        <x:is>
          <x:t xml:space="preserve">BOQ Reference</x:t>
        </x:is>
      </x:c>
      <x:c r="B1" s="25" t="inlineStr">
        <x:is>
          <x:t xml:space="preserve">Description</x:t>
        </x:is>
      </x:c>
      <x:c r="C1" s="25" t="inlineStr">
        <x:is>
          <x:t xml:space="preserve">Quantity</x:t>
        </x:is>
      </x:c>
      <x:c r="D1" s="25" t="inlineStr">
        <x:is>
          <x:t xml:space="preserve">Unit</x:t>
        </x:is>
      </x:c>
      <x:c r="E1" s="25" t="inlineStr">
        <x:is>
          <x:t xml:space="preserve">Mapped Activity IDs</x:t>
        </x:is>
      </x:c>
      <x:c r="F1" s="25" t="inlineStr">
        <x:is>
          <x:t xml:space="preserve">Coverage Status</x:t>
        </x:is>
      </x:c>
      <x:c r="G1" s="25" t="inlineStr">
        <x:is>
          <x:t xml:space="preserve">Source Page</x:t>
        </x:is>
      </x:c>
    </x:row>
    <x:row r="2">
      <x:c r="A2" t="inlineStr">
        <x:is>
          <x:t xml:space="preserve">p1:1.1</x:t>
        </x:is>
      </x:c>
      <x:c r="B2" t="inlineStr">
        <x:is>
          <x:t xml:space="preserve">Mobilization and Demobilization</x:t>
        </x:is>
      </x:c>
      <x:c r="C2" t="inlineStr">
        <x:is>
          <x:t xml:space="preserve">1.00</x:t>
        </x:is>
      </x:c>
      <x:c r="D2" t="inlineStr">
        <x:is>
          <x:t xml:space="preserve">LS</x:t>
        </x:is>
      </x:c>
      <x:c r="E2" t="inlineStr">
        <x:is>
          <x:t xml:space="preserve">1,33</x:t>
        </x:is>
      </x:c>
      <x:c r="F2" t="inlineStr">
        <x:is>
          <x:t xml:space="preserve">Requires Clarification</x:t>
        </x:is>
      </x:c>
      <x:c r="G2" t="inlineStr">
        <x:is>
          <x:t xml:space="preserve">1</x:t>
        </x:is>
      </x:c>
    </x:row>
    <x:row r="3">
      <x:c r="A3" t="inlineStr">
        <x:is>
          <x:t xml:space="preserve">p1:1.2</x:t>
        </x:is>
      </x:c>
      <x:c r="B3" t="inlineStr">
        <x:is>
          <x:t xml:space="preserve">Insurances</x:t>
        </x:is>
      </x:c>
      <x:c r="C3" t="inlineStr">
        <x:is>
          <x:t xml:space="preserve"/>
        </x:is>
      </x:c>
      <x:c r="D3" t="inlineStr">
        <x:is>
          <x:t xml:space="preserve">Item</x:t>
        </x:is>
      </x:c>
      <x:c r="E3" t="inlineStr">
        <x:is>
          <x:t xml:space="preserve">1</x:t>
        </x:is>
      </x:c>
      <x:c r="F3" t="inlineStr">
        <x:is>
          <x:t xml:space="preserve">Covered</x:t>
        </x:is>
      </x:c>
      <x:c r="G3" t="inlineStr">
        <x:is>
          <x:t xml:space="preserve">1</x:t>
        </x:is>
      </x:c>
    </x:row>
    <x:row r="4">
      <x:c r="A4" t="inlineStr">
        <x:is>
          <x:t xml:space="preserve">p1:1.3</x:t>
        </x:is>
      </x:c>
      <x:c r="B4" t="inlineStr">
        <x:is>
          <x:t xml:space="preserve">Accommodation and Services for the Engineer</x:t>
        </x:is>
      </x:c>
      <x:c r="C4" t="inlineStr">
        <x:is>
          <x:t xml:space="preserve"/>
        </x:is>
      </x:c>
      <x:c r="D4" t="inlineStr">
        <x:is>
          <x:t xml:space="preserve">Item</x:t>
        </x:is>
      </x:c>
      <x:c r="E4" t="inlineStr">
        <x:is>
          <x:t xml:space="preserve">1,34</x:t>
        </x:is>
      </x:c>
      <x:c r="F4" t="inlineStr">
        <x:is>
          <x:t xml:space="preserve">Requires Clarification</x:t>
        </x:is>
      </x:c>
      <x:c r="G4" t="inlineStr">
        <x:is>
          <x:t xml:space="preserve">1</x:t>
        </x:is>
      </x:c>
    </x:row>
    <x:row r="5">
      <x:c r="A5" t="inlineStr">
        <x:is>
          <x:t xml:space="preserve">p1:1.4</x:t>
        </x:is>
      </x:c>
      <x:c r="B5" t="inlineStr">
        <x:is>
          <x:t xml:space="preserve">Setting out</x:t>
        </x:is>
      </x:c>
      <x:c r="C5" t="inlineStr">
        <x:is>
          <x:t xml:space="preserve"/>
        </x:is>
      </x:c>
      <x:c r="D5" t="inlineStr">
        <x:is>
          <x:t xml:space="preserve">Item</x:t>
        </x:is>
      </x:c>
      <x:c r="E5" t="inlineStr">
        <x:is>
          <x:t xml:space="preserve">2</x:t>
        </x:is>
      </x:c>
      <x:c r="F5" t="inlineStr">
        <x:is>
          <x:t xml:space="preserve">Covered</x:t>
        </x:is>
      </x:c>
      <x:c r="G5" t="inlineStr">
        <x:is>
          <x:t xml:space="preserve">1</x:t>
        </x:is>
      </x:c>
    </x:row>
    <x:row r="6">
      <x:c r="A6" t="inlineStr">
        <x:is>
          <x:t xml:space="preserve">p1:1.5</x:t>
        </x:is>
      </x:c>
      <x:c r="B6" t="inlineStr">
        <x:is>
          <x:t xml:space="preserve">Temporary services</x:t>
        </x:is>
      </x:c>
      <x:c r="C6" t="inlineStr">
        <x:is>
          <x:t xml:space="preserve"/>
        </x:is>
      </x:c>
      <x:c r="D6" t="inlineStr">
        <x:is>
          <x:t xml:space="preserve">Item</x:t>
        </x:is>
      </x:c>
      <x:c r="E6" t="inlineStr">
        <x:is>
          <x:t xml:space="preserve">1</x:t>
        </x:is>
      </x:c>
      <x:c r="F6" t="inlineStr">
        <x:is>
          <x:t xml:space="preserve">Covered</x:t>
        </x:is>
      </x:c>
      <x:c r="G6" t="inlineStr">
        <x:is>
          <x:t xml:space="preserve">1</x:t>
        </x:is>
      </x:c>
    </x:row>
    <x:row r="7">
      <x:c r="A7" t="inlineStr">
        <x:is>
          <x:t xml:space="preserve">p1:1.6</x:t>
        </x:is>
      </x:c>
      <x:c r="B7" t="inlineStr">
        <x:is>
          <x:t xml:space="preserve">As-Built Drawings: Manuals</x:t>
        </x:is>
      </x:c>
      <x:c r="C7" t="inlineStr">
        <x:is>
          <x:t xml:space="preserve"/>
        </x:is>
      </x:c>
      <x:c r="D7" t="inlineStr">
        <x:is>
          <x:t xml:space="preserve">Item</x:t>
        </x:is>
      </x:c>
      <x:c r="E7" t="inlineStr">
        <x:is>
          <x:t xml:space="preserve">3,32</x:t>
        </x:is>
      </x:c>
      <x:c r="F7" t="inlineStr">
        <x:is>
          <x:t xml:space="preserve">Requires Clarification</x:t>
        </x:is>
      </x:c>
      <x:c r="G7" t="inlineStr">
        <x:is>
          <x:t xml:space="preserve">1</x:t>
        </x:is>
      </x:c>
    </x:row>
    <x:row r="8">
      <x:c r="A8" t="inlineStr">
        <x:is>
          <x:t xml:space="preserve">p1:1.7</x:t>
        </x:is>
      </x:c>
      <x:c r="B8" t="inlineStr">
        <x:is>
          <x:t xml:space="preserve">Program of Works</x:t>
        </x:is>
      </x:c>
      <x:c r="C8" t="inlineStr">
        <x:is>
          <x:t xml:space="preserve"/>
        </x:is>
      </x:c>
      <x:c r="D8" t="inlineStr">
        <x:is>
          <x:t xml:space="preserve">Item</x:t>
        </x:is>
      </x:c>
      <x:c r="E8" t="inlineStr">
        <x:is>
          <x:t xml:space="preserve">2</x:t>
        </x:is>
      </x:c>
      <x:c r="F8" t="inlineStr">
        <x:is>
          <x:t xml:space="preserve">Covered</x:t>
        </x:is>
      </x:c>
      <x:c r="G8" t="inlineStr">
        <x:is>
          <x:t xml:space="preserve">1</x:t>
        </x:is>
      </x:c>
    </x:row>
    <x:row r="9">
      <x:c r="A9" t="inlineStr">
        <x:is>
          <x:t xml:space="preserve">p1:1.8</x:t>
        </x:is>
      </x:c>
      <x:c r="B9" t="inlineStr">
        <x:is>
          <x:t xml:space="preserve">Monthly Progress Reports</x:t>
        </x:is>
      </x:c>
      <x:c r="C9" t="inlineStr">
        <x:is>
          <x:t xml:space="preserve"/>
        </x:is>
      </x:c>
      <x:c r="D9" t="inlineStr">
        <x:is>
          <x:t xml:space="preserve">Item</x:t>
        </x:is>
      </x:c>
      <x:c r="E9" t="inlineStr">
        <x:is>
          <x:t xml:space="preserve">2</x:t>
        </x:is>
      </x:c>
      <x:c r="F9" t="inlineStr">
        <x:is>
          <x:t xml:space="preserve">Covered</x:t>
        </x:is>
      </x:c>
      <x:c r="G9" t="inlineStr">
        <x:is>
          <x:t xml:space="preserve">1</x:t>
        </x:is>
      </x:c>
    </x:row>
    <x:row r="10">
      <x:c r="A10" t="inlineStr">
        <x:is>
          <x:t xml:space="preserve">p1:1.9</x:t>
        </x:is>
      </x:c>
      <x:c r="B10" t="inlineStr">
        <x:is>
          <x:t xml:space="preserve">Shop Drawings and As-Built Drawings</x:t>
        </x:is>
      </x:c>
      <x:c r="C10" t="inlineStr">
        <x:is>
          <x:t xml:space="preserve"/>
        </x:is>
      </x:c>
      <x:c r="D10" t="inlineStr">
        <x:is>
          <x:t xml:space="preserve">Item</x:t>
        </x:is>
      </x:c>
      <x:c r="E10" t="inlineStr">
        <x:is>
          <x:t xml:space="preserve">3,32</x:t>
        </x:is>
      </x:c>
      <x:c r="F10" t="inlineStr">
        <x:is>
          <x:t xml:space="preserve">Requires Clarification</x:t>
        </x:is>
      </x:c>
      <x:c r="G10" t="inlineStr">
        <x:is>
          <x:t xml:space="preserve">1</x:t>
        </x:is>
      </x:c>
    </x:row>
    <x:row r="11">
      <x:c r="A11" t="inlineStr">
        <x:is>
          <x:t xml:space="preserve">p1:1.10</x:t>
        </x:is>
      </x:c>
      <x:c r="B11" t="inlineStr">
        <x:is>
          <x:t xml:space="preserve">Testing and Commissioning</x:t>
        </x:is>
      </x:c>
      <x:c r="C11" t="inlineStr">
        <x:is>
          <x:t xml:space="preserve"/>
        </x:is>
      </x:c>
      <x:c r="D11" t="inlineStr">
        <x:is>
          <x:t xml:space="preserve">Item</x:t>
        </x:is>
      </x:c>
      <x:c r="E11" t="inlineStr">
        <x:is>
          <x:t xml:space="preserve">14,30,33</x:t>
        </x:is>
      </x:c>
      <x:c r="F11" t="inlineStr">
        <x:is>
          <x:t xml:space="preserve">Requires Clarification</x:t>
        </x:is>
      </x:c>
      <x:c r="G11" t="inlineStr">
        <x:is>
          <x:t xml:space="preserve">1</x:t>
        </x:is>
      </x:c>
    </x:row>
    <x:row r="12">
      <x:c r="A12" t="inlineStr">
        <x:is>
          <x:t xml:space="preserve">p1:1.11</x:t>
        </x:is>
      </x:c>
      <x:c r="B12" t="inlineStr">
        <x:is>
          <x:t xml:space="preserve">Protection of Neighboring Properties</x:t>
        </x:is>
      </x:c>
      <x:c r="C12" t="inlineStr">
        <x:is>
          <x:t xml:space="preserve"/>
        </x:is>
      </x:c>
      <x:c r="D12" t="inlineStr">
        <x:is>
          <x:t xml:space="preserve">Item</x:t>
        </x:is>
      </x:c>
      <x:c r="E12" t="inlineStr">
        <x:is>
          <x:t xml:space="preserve">1</x:t>
        </x:is>
      </x:c>
      <x:c r="F12" t="inlineStr">
        <x:is>
          <x:t xml:space="preserve">Covered</x:t>
        </x:is>
      </x:c>
      <x:c r="G12" t="inlineStr">
        <x:is>
          <x:t xml:space="preserve">1</x:t>
        </x:is>
      </x:c>
    </x:row>
    <x:row r="13">
      <x:c r="A13" t="inlineStr">
        <x:is>
          <x:t xml:space="preserve">p1:1.12</x:t>
        </x:is>
      </x:c>
      <x:c r="B13" t="inlineStr">
        <x:is>
          <x:t xml:space="preserve">Training of Personnel on the Operation and Maintenance</x:t>
        </x:is>
      </x:c>
      <x:c r="C13" t="inlineStr">
        <x:is>
          <x:t xml:space="preserve"/>
        </x:is>
      </x:c>
      <x:c r="D13" t="inlineStr">
        <x:is>
          <x:t xml:space="preserve">Item</x:t>
        </x:is>
      </x:c>
      <x:c r="E13" t="inlineStr">
        <x:is>
          <x:t xml:space="preserve">30</x:t>
        </x:is>
      </x:c>
      <x:c r="F13" t="inlineStr">
        <x:is>
          <x:t xml:space="preserve">Covered</x:t>
        </x:is>
      </x:c>
      <x:c r="G13" t="inlineStr">
        <x:is>
          <x:t xml:space="preserve">1</x:t>
        </x:is>
      </x:c>
    </x:row>
    <x:row r="14">
      <x:c r="A14" t="inlineStr">
        <x:is>
          <x:t xml:space="preserve">p1:1.13</x:t>
        </x:is>
      </x:c>
      <x:c r="B14" t="inlineStr">
        <x:is>
          <x:t xml:space="preserve">Environmental Risk Assessment and Waste Management</x:t>
        </x:is>
      </x:c>
      <x:c r="C14" t="inlineStr">
        <x:is>
          <x:t xml:space="preserve"/>
        </x:is>
      </x:c>
      <x:c r="D14" t="inlineStr">
        <x:is>
          <x:t xml:space="preserve">Item</x:t>
        </x:is>
      </x:c>
      <x:c r="E14" t="inlineStr">
        <x:is>
          <x:t xml:space="preserve">1,35</x:t>
        </x:is>
      </x:c>
      <x:c r="F14" t="inlineStr">
        <x:is>
          <x:t xml:space="preserve">Requires Clarification</x:t>
        </x:is>
      </x:c>
      <x:c r="G14" t="inlineStr">
        <x:is>
          <x:t xml:space="preserve">1</x:t>
        </x:is>
      </x:c>
    </x:row>
    <x:row r="15">
      <x:c r="A15" t="inlineStr">
        <x:is>
          <x:t xml:space="preserve">p1:1.14</x:t>
        </x:is>
      </x:c>
      <x:c r="B15" t="inlineStr">
        <x:is>
          <x:t xml:space="preserve">Project Billboard</x:t>
        </x:is>
      </x:c>
      <x:c r="C15" t="inlineStr">
        <x:is>
          <x:t xml:space="preserve">1.00</x:t>
        </x:is>
      </x:c>
      <x:c r="D15" t="inlineStr">
        <x:is>
          <x:t xml:space="preserve">Item</x:t>
        </x:is>
      </x:c>
      <x:c r="E15" t="inlineStr">
        <x:is>
          <x:t xml:space="preserve">1</x:t>
        </x:is>
      </x:c>
      <x:c r="F15" t="inlineStr">
        <x:is>
          <x:t xml:space="preserve">Covered</x:t>
        </x:is>
      </x:c>
      <x:c r="G15" t="inlineStr">
        <x:is>
          <x:t xml:space="preserve">1</x:t>
        </x:is>
      </x:c>
    </x:row>
    <x:row r="16">
      <x:c r="A16" t="inlineStr">
        <x:is>
          <x:t xml:space="preserve">p1:1.1.1.1</x:t>
        </x:is>
      </x:c>
      <x:c r="B16" t="inlineStr">
        <x:is>
          <x:t xml:space="preserve">Demolition of Walls and Slab</x:t>
        </x:is>
      </x:c>
      <x:c r="C16" t="inlineStr">
        <x:is>
          <x:t xml:space="preserve">84.00</x:t>
        </x:is>
      </x:c>
      <x:c r="D16" t="inlineStr">
        <x:is>
          <x:t xml:space="preserve">m2</x:t>
        </x:is>
      </x:c>
      <x:c r="E16" t="inlineStr">
        <x:is>
          <x:t xml:space="preserve">4</x:t>
        </x:is>
      </x:c>
      <x:c r="F16" t="inlineStr">
        <x:is>
          <x:t xml:space="preserve">Covered</x:t>
        </x:is>
      </x:c>
      <x:c r="G16" t="inlineStr">
        <x:is>
          <x:t xml:space="preserve">1</x:t>
        </x:is>
      </x:c>
    </x:row>
    <x:row r="17">
      <x:c r="A17" t="inlineStr">
        <x:is>
          <x:t xml:space="preserve">p1:1.1.1.2</x:t>
        </x:is>
      </x:c>
      <x:c r="B17" t="inlineStr">
        <x:is>
          <x:t xml:space="preserve">Demolition of Floors</x:t>
        </x:is>
      </x:c>
      <x:c r="C17" t="inlineStr">
        <x:is>
          <x:t xml:space="preserve">22.00</x:t>
        </x:is>
      </x:c>
      <x:c r="D17" t="inlineStr">
        <x:is>
          <x:t xml:space="preserve">m2</x:t>
        </x:is>
      </x:c>
      <x:c r="E17" t="inlineStr">
        <x:is>
          <x:t xml:space="preserve">4</x:t>
        </x:is>
      </x:c>
      <x:c r="F17" t="inlineStr">
        <x:is>
          <x:t xml:space="preserve">Covered</x:t>
        </x:is>
      </x:c>
      <x:c r="G17" t="inlineStr">
        <x:is>
          <x:t xml:space="preserve">1</x:t>
        </x:is>
      </x:c>
    </x:row>
    <x:row r="18">
      <x:c r="A18" t="inlineStr">
        <x:is>
          <x:t xml:space="preserve">p1:1.1.1.3</x:t>
        </x:is>
      </x:c>
      <x:c r="B18" t="inlineStr">
        <x:is>
          <x:t xml:space="preserve">Relocation of Fuel Tank</x:t>
        </x:is>
      </x:c>
      <x:c r="C18" t="inlineStr">
        <x:is>
          <x:t xml:space="preserve">1.00</x:t>
        </x:is>
      </x:c>
      <x:c r="D18" t="inlineStr">
        <x:is>
          <x:t xml:space="preserve">Item</x:t>
        </x:is>
      </x:c>
      <x:c r="E18" t="inlineStr">
        <x:is>
          <x:t xml:space="preserve">4</x:t>
        </x:is>
      </x:c>
      <x:c r="F18" t="inlineStr">
        <x:is>
          <x:t xml:space="preserve">Covered</x:t>
        </x:is>
      </x:c>
      <x:c r="G18" t="inlineStr">
        <x:is>
          <x:t xml:space="preserve">1</x:t>
        </x:is>
      </x:c>
    </x:row>
    <x:row r="19">
      <x:c r="A19" t="inlineStr">
        <x:is>
          <x:t xml:space="preserve">p1:1.1.2</x:t>
        </x:is>
      </x:c>
      <x:c r="B19" t="inlineStr">
        <x:is>
          <x:t xml:space="preserve">Partial Demolition of Existing Road-Side Wall</x:t>
        </x:is>
      </x:c>
      <x:c r="C19" t="inlineStr">
        <x:is>
          <x:t xml:space="preserve">10.00</x:t>
        </x:is>
      </x:c>
      <x:c r="D19" t="inlineStr">
        <x:is>
          <x:t xml:space="preserve">m2</x:t>
        </x:is>
      </x:c>
      <x:c r="E19" t="inlineStr">
        <x:is>
          <x:t xml:space="preserve">4</x:t>
        </x:is>
      </x:c>
      <x:c r="F19" t="inlineStr">
        <x:is>
          <x:t xml:space="preserve">Covered</x:t>
        </x:is>
      </x:c>
      <x:c r="G19" t="inlineStr">
        <x:is>
          <x:t xml:space="preserve">1</x:t>
        </x:is>
      </x:c>
    </x:row>
    <x:row r="20">
      <x:c r="A20" t="inlineStr">
        <x:is>
          <x:t xml:space="preserve">p1:1.1.5</x:t>
        </x:is>
      </x:c>
      <x:c r="B20" t="inlineStr">
        <x:is>
          <x:t xml:space="preserve">Demolition of Asphalted Site</x:t>
        </x:is>
      </x:c>
      <x:c r="C20" t="inlineStr">
        <x:is>
          <x:t xml:space="preserve">644.00</x:t>
        </x:is>
      </x:c>
      <x:c r="D20" t="inlineStr">
        <x:is>
          <x:t xml:space="preserve">m2</x:t>
        </x:is>
      </x:c>
      <x:c r="E20" t="inlineStr">
        <x:is>
          <x:t xml:space="preserve">4</x:t>
        </x:is>
      </x:c>
      <x:c r="F20" t="inlineStr">
        <x:is>
          <x:t xml:space="preserve">Covered</x:t>
        </x:is>
      </x:c>
      <x:c r="G20" t="inlineStr">
        <x:is>
          <x:t xml:space="preserve">1</x:t>
        </x:is>
      </x:c>
    </x:row>
    <x:row r="21">
      <x:c r="A21" t="inlineStr">
        <x:is>
          <x:t xml:space="preserve">p1:1.1.6</x:t>
        </x:is>
      </x:c>
      <x:c r="B21" t="inlineStr">
        <x:is>
          <x:t xml:space="preserve">Demolish part of the existing slab on grade as specified on drawings to</x:t>
        </x:is>
      </x:c>
      <x:c r="C21" t="inlineStr">
        <x:is>
          <x:t xml:space="preserve">1.00</x:t>
        </x:is>
      </x:c>
      <x:c r="D21" t="inlineStr">
        <x:is>
          <x:t xml:space="preserve">LS</x:t>
        </x:is>
      </x:c>
      <x:c r="E21" t="inlineStr">
        <x:is>
          <x:t xml:space="preserve">4</x:t>
        </x:is>
      </x:c>
      <x:c r="F21" t="inlineStr">
        <x:is>
          <x:t xml:space="preserve">Covered</x:t>
        </x:is>
      </x:c>
      <x:c r="G21" t="inlineStr">
        <x:is>
          <x:t xml:space="preserve">1</x:t>
        </x:is>
      </x:c>
    </x:row>
    <x:row r="22">
      <x:c r="A22" t="inlineStr">
        <x:is>
          <x:t xml:space="preserve">p1:1.2.1</x:t>
        </x:is>
      </x:c>
      <x:c r="B22" t="inlineStr">
        <x:is>
          <x:t xml:space="preserve">Dismantle of Steel Doors</x:t>
        </x:is>
      </x:c>
      <x:c r="C22" t="inlineStr">
        <x:is>
          <x:t xml:space="preserve">44.00</x:t>
        </x:is>
      </x:c>
      <x:c r="D22" t="inlineStr">
        <x:is>
          <x:t xml:space="preserve">m2</x:t>
        </x:is>
      </x:c>
      <x:c r="E22" t="inlineStr">
        <x:is>
          <x:t xml:space="preserve">4</x:t>
        </x:is>
      </x:c>
      <x:c r="F22" t="inlineStr">
        <x:is>
          <x:t xml:space="preserve">Covered</x:t>
        </x:is>
      </x:c>
      <x:c r="G22" t="inlineStr">
        <x:is>
          <x:t xml:space="preserve">1</x:t>
        </x:is>
      </x:c>
    </x:row>
    <x:row r="23">
      <x:c r="A23" t="inlineStr">
        <x:is>
          <x:t xml:space="preserve">p1:1.2.2</x:t>
        </x:is>
      </x:c>
      <x:c r="B23" t="inlineStr">
        <x:is>
          <x:t xml:space="preserve">Dismantle of Existing Shed</x:t>
        </x:is>
      </x:c>
      <x:c r="C23" t="inlineStr">
        <x:is>
          <x:t xml:space="preserve">31.00</x:t>
        </x:is>
      </x:c>
      <x:c r="D23" t="inlineStr">
        <x:is>
          <x:t xml:space="preserve">m2</x:t>
        </x:is>
      </x:c>
      <x:c r="E23" t="inlineStr">
        <x:is>
          <x:t xml:space="preserve">4</x:t>
        </x:is>
      </x:c>
      <x:c r="F23" t="inlineStr">
        <x:is>
          <x:t xml:space="preserve">Covered</x:t>
        </x:is>
      </x:c>
      <x:c r="G23" t="inlineStr">
        <x:is>
          <x:t xml:space="preserve">1</x:t>
        </x:is>
      </x:c>
    </x:row>
    <x:row r="24">
      <x:c r="A24" t="inlineStr">
        <x:is>
          <x:t xml:space="preserve">p1:1.2.3</x:t>
        </x:is>
      </x:c>
      <x:c r="B24" t="inlineStr">
        <x:is>
          <x:t xml:space="preserve">Dismantle of all Existing Elements on Fuel Tank Room</x:t>
        </x:is>
      </x:c>
      <x:c r="C24" t="inlineStr">
        <x:is>
          <x:t xml:space="preserve">1.00</x:t>
        </x:is>
      </x:c>
      <x:c r="D24" t="inlineStr">
        <x:is>
          <x:t xml:space="preserve">LS</x:t>
        </x:is>
      </x:c>
      <x:c r="E24" t="inlineStr">
        <x:is>
          <x:t xml:space="preserve">4</x:t>
        </x:is>
      </x:c>
      <x:c r="F24" t="inlineStr">
        <x:is>
          <x:t xml:space="preserve">Covered</x:t>
        </x:is>
      </x:c>
      <x:c r="G24" t="inlineStr">
        <x:is>
          <x:t xml:space="preserve">1</x:t>
        </x:is>
      </x:c>
    </x:row>
    <x:row r="25">
      <x:c r="A25" t="inlineStr">
        <x:is>
          <x:t xml:space="preserve">p1:2.1.1.1</x:t>
        </x:is>
      </x:c>
      <x:c r="B25" t="inlineStr">
        <x:is>
          <x:t xml:space="preserve">Excavation Behind Service Block</x:t>
        </x:is>
      </x:c>
      <x:c r="C25" t="inlineStr">
        <x:is>
          <x:t xml:space="preserve">60.00</x:t>
        </x:is>
      </x:c>
      <x:c r="D25" t="inlineStr">
        <x:is>
          <x:t xml:space="preserve">m3</x:t>
        </x:is>
      </x:c>
      <x:c r="E25" t="inlineStr">
        <x:is>
          <x:t xml:space="preserve">5</x:t>
        </x:is>
      </x:c>
      <x:c r="F25" t="inlineStr">
        <x:is>
          <x:t xml:space="preserve">Covered</x:t>
        </x:is>
      </x:c>
      <x:c r="G25" t="inlineStr">
        <x:is>
          <x:t xml:space="preserve">1</x:t>
        </x:is>
      </x:c>
    </x:row>
    <x:row r="26">
      <x:c r="A26" t="inlineStr">
        <x:is>
          <x:t xml:space="preserve">p1:2.1.1.2</x:t>
        </x:is>
      </x:c>
      <x:c r="B26" t="inlineStr">
        <x:is>
          <x:t xml:space="preserve">Excavation for footings for the new shed</x:t>
        </x:is>
      </x:c>
      <x:c r="C26" t="inlineStr">
        <x:is>
          <x:t xml:space="preserve">11.00</x:t>
        </x:is>
      </x:c>
      <x:c r="D26" t="inlineStr">
        <x:is>
          <x:t xml:space="preserve">m3</x:t>
        </x:is>
      </x:c>
      <x:c r="E26" t="inlineStr">
        <x:is>
          <x:t xml:space="preserve">5</x:t>
        </x:is>
      </x:c>
      <x:c r="F26" t="inlineStr">
        <x:is>
          <x:t xml:space="preserve">Covered</x:t>
        </x:is>
      </x:c>
      <x:c r="G26" t="inlineStr">
        <x:is>
          <x:t xml:space="preserve">1</x:t>
        </x:is>
      </x:c>
    </x:row>
    <x:row r="27">
      <x:c r="A27" t="inlineStr">
        <x:is>
          <x:t xml:space="preserve">p2:2.1.2.1</x:t>
        </x:is>
      </x:c>
      <x:c r="B27" t="inlineStr">
        <x:is>
          <x:t xml:space="preserve">Excavation Works</x:t>
        </x:is>
      </x:c>
      <x:c r="C27" t="inlineStr">
        <x:is>
          <x:t xml:space="preserve">768.00</x:t>
        </x:is>
      </x:c>
      <x:c r="D27" t="inlineStr">
        <x:is>
          <x:t xml:space="preserve">m3</x:t>
        </x:is>
      </x:c>
      <x:c r="E27" t="inlineStr">
        <x:is>
          <x:t xml:space="preserve">5</x:t>
        </x:is>
      </x:c>
      <x:c r="F27" t="inlineStr">
        <x:is>
          <x:t xml:space="preserve">Covered</x:t>
        </x:is>
      </x:c>
      <x:c r="G27" t="inlineStr">
        <x:is>
          <x:t xml:space="preserve">2</x:t>
        </x:is>
      </x:c>
    </x:row>
    <x:row r="28">
      <x:c r="A28" t="inlineStr">
        <x:is>
          <x:t xml:space="preserve">p2:2.1.2.2</x:t>
        </x:is>
      </x:c>
      <x:c r="B28" t="inlineStr">
        <x:is>
          <x:t xml:space="preserve">Excavate and remove all soft or contaminated soil and pour cyclopean concrete</x:t>
        </x:is>
      </x:c>
      <x:c r="C28" t="inlineStr">
        <x:is>
          <x:t xml:space="preserve">24.00</x:t>
        </x:is>
      </x:c>
      <x:c r="D28" t="inlineStr">
        <x:is>
          <x:t xml:space="preserve">m3</x:t>
        </x:is>
      </x:c>
      <x:c r="E28" t="inlineStr">
        <x:is>
          <x:t xml:space="preserve">5</x:t>
        </x:is>
      </x:c>
      <x:c r="F28" t="inlineStr">
        <x:is>
          <x:t xml:space="preserve">Covered</x:t>
        </x:is>
      </x:c>
      <x:c r="G28" t="inlineStr">
        <x:is>
          <x:t xml:space="preserve">2</x:t>
        </x:is>
      </x:c>
    </x:row>
    <x:row r="29">
      <x:c r="A29" t="inlineStr">
        <x:is>
          <x:t xml:space="preserve">p2:2.2.1.1</x:t>
        </x:is>
      </x:c>
      <x:c r="B29" t="inlineStr">
        <x:is>
          <x:t xml:space="preserve">Backfill Behind Service Block</x:t>
        </x:is>
      </x:c>
      <x:c r="C29" t="inlineStr">
        <x:is>
          <x:t xml:space="preserve">60.00</x:t>
        </x:is>
      </x:c>
      <x:c r="D29" t="inlineStr">
        <x:is>
          <x:t xml:space="preserve">m3</x:t>
        </x:is>
      </x:c>
      <x:c r="E29" t="inlineStr">
        <x:is>
          <x:t xml:space="preserve">9</x:t>
        </x:is>
      </x:c>
      <x:c r="F29" t="inlineStr">
        <x:is>
          <x:t xml:space="preserve">Covered</x:t>
        </x:is>
      </x:c>
      <x:c r="G29" t="inlineStr">
        <x:is>
          <x:t xml:space="preserve">2</x:t>
        </x:is>
      </x:c>
    </x:row>
    <x:row r="30">
      <x:c r="A30" t="inlineStr">
        <x:is>
          <x:t xml:space="preserve">p2:2.2.1.2</x:t>
        </x:is>
      </x:c>
      <x:c r="B30" t="inlineStr">
        <x:is>
          <x:t xml:space="preserve">Backfill under the slab on grade of the new shed</x:t>
        </x:is>
      </x:c>
      <x:c r="C30" t="inlineStr">
        <x:is>
          <x:t xml:space="preserve">9.00</x:t>
        </x:is>
      </x:c>
      <x:c r="D30" t="inlineStr">
        <x:is>
          <x:t xml:space="preserve">m3</x:t>
        </x:is>
      </x:c>
      <x:c r="E30" t="inlineStr">
        <x:is>
          <x:t xml:space="preserve">9</x:t>
        </x:is>
      </x:c>
      <x:c r="F30" t="inlineStr">
        <x:is>
          <x:t xml:space="preserve">Covered</x:t>
        </x:is>
      </x:c>
      <x:c r="G30" t="inlineStr">
        <x:is>
          <x:t xml:space="preserve">2</x:t>
        </x:is>
      </x:c>
    </x:row>
    <x:row r="31">
      <x:c r="A31" t="inlineStr">
        <x:is>
          <x:t xml:space="preserve">p2:2.2.2.1</x:t>
        </x:is>
      </x:c>
      <x:c r="B31" t="inlineStr">
        <x:is>
          <x:t xml:space="preserve">Backfill Works</x:t>
        </x:is>
      </x:c>
      <x:c r="C31" t="inlineStr">
        <x:is>
          <x:t xml:space="preserve">373.00</x:t>
        </x:is>
      </x:c>
      <x:c r="D31" t="inlineStr">
        <x:is>
          <x:t xml:space="preserve">m3</x:t>
        </x:is>
      </x:c>
      <x:c r="E31" t="inlineStr">
        <x:is>
          <x:t xml:space="preserve">9</x:t>
        </x:is>
      </x:c>
      <x:c r="F31" t="inlineStr">
        <x:is>
          <x:t xml:space="preserve">Covered</x:t>
        </x:is>
      </x:c>
      <x:c r="G31" t="inlineStr">
        <x:is>
          <x:t xml:space="preserve">2</x:t>
        </x:is>
      </x:c>
    </x:row>
    <x:row r="32">
      <x:c r="A32" t="inlineStr">
        <x:is>
          <x:t xml:space="preserve">p2:3.1.1.1.1</x:t>
        </x:is>
      </x:c>
      <x:c r="B32" t="inlineStr">
        <x:is>
          <x:t xml:space="preserve">Blinding Beds (approximately thickness of 5 cm)</x:t>
        </x:is>
      </x:c>
      <x:c r="C32" t="inlineStr">
        <x:is>
          <x:t xml:space="preserve">7.00</x:t>
        </x:is>
      </x:c>
      <x:c r="D32" t="inlineStr">
        <x:is>
          <x:t xml:space="preserve">m2</x:t>
        </x:is>
      </x:c>
      <x:c r="E32" t="inlineStr">
        <x:is>
          <x:t xml:space="preserve">6</x:t>
        </x:is>
      </x:c>
      <x:c r="F32" t="inlineStr">
        <x:is>
          <x:t xml:space="preserve">Covered</x:t>
        </x:is>
      </x:c>
      <x:c r="G32" t="inlineStr">
        <x:is>
          <x:t xml:space="preserve">2</x:t>
        </x:is>
      </x:c>
    </x:row>
    <x:row r="33">
      <x:c r="A33" t="inlineStr">
        <x:is>
          <x:t xml:space="preserve">p2:3.1.1.2.1</x:t>
        </x:is>
      </x:c>
      <x:c r="B33" t="inlineStr">
        <x:is>
          <x:t xml:space="preserve">Blinding Beds (approximately thickness of 5 cm)</x:t>
        </x:is>
      </x:c>
      <x:c r="C33" t="inlineStr">
        <x:is>
          <x:t xml:space="preserve">273.00</x:t>
        </x:is>
      </x:c>
      <x:c r="D33" t="inlineStr">
        <x:is>
          <x:t xml:space="preserve">m2</x:t>
        </x:is>
      </x:c>
      <x:c r="E33" t="inlineStr">
        <x:is>
          <x:t xml:space="preserve">6</x:t>
        </x:is>
      </x:c>
      <x:c r="F33" t="inlineStr">
        <x:is>
          <x:t xml:space="preserve">Covered</x:t>
        </x:is>
      </x:c>
      <x:c r="G33" t="inlineStr">
        <x:is>
          <x:t xml:space="preserve">2</x:t>
        </x:is>
      </x:c>
    </x:row>
    <x:row r="34">
      <x:c r="A34" t="inlineStr">
        <x:is>
          <x:t xml:space="preserve">p2:3.1.2.1.1</x:t>
        </x:is>
      </x:c>
      <x:c r="B34" t="inlineStr">
        <x:is>
          <x:t xml:space="preserve">Isolated Footings</x:t>
        </x:is>
      </x:c>
      <x:c r="C34" t="inlineStr">
        <x:is>
          <x:t xml:space="preserve">2.50</x:t>
        </x:is>
      </x:c>
      <x:c r="D34" t="inlineStr">
        <x:is>
          <x:t xml:space="preserve">m3</x:t>
        </x:is>
      </x:c>
      <x:c r="E34" t="inlineStr">
        <x:is>
          <x:t xml:space="preserve">7</x:t>
        </x:is>
      </x:c>
      <x:c r="F34" t="inlineStr">
        <x:is>
          <x:t xml:space="preserve">Covered</x:t>
        </x:is>
      </x:c>
      <x:c r="G34" t="inlineStr">
        <x:is>
          <x:t xml:space="preserve">2</x:t>
        </x:is>
      </x:c>
    </x:row>
    <x:row r="35">
      <x:c r="A35" t="inlineStr">
        <x:is>
          <x:t xml:space="preserve">p2:3.1.2.1.2</x:t>
        </x:is>
      </x:c>
      <x:c r="B35" t="inlineStr">
        <x:is>
          <x:t xml:space="preserve">Column necks; below ground floor</x:t>
        </x:is>
      </x:c>
      <x:c r="C35" t="inlineStr">
        <x:is>
          <x:t xml:space="preserve">1.00</x:t>
        </x:is>
      </x:c>
      <x:c r="D35" t="inlineStr">
        <x:is>
          <x:t xml:space="preserve">m3</x:t>
        </x:is>
      </x:c>
      <x:c r="E35" t="inlineStr">
        <x:is>
          <x:t xml:space="preserve">7</x:t>
        </x:is>
      </x:c>
      <x:c r="F35" t="inlineStr">
        <x:is>
          <x:t xml:space="preserve">Covered</x:t>
        </x:is>
      </x:c>
      <x:c r="G35" t="inlineStr">
        <x:is>
          <x:t xml:space="preserve">2</x:t>
        </x:is>
      </x:c>
    </x:row>
    <x:row r="36">
      <x:c r="A36" t="inlineStr">
        <x:is>
          <x:t xml:space="preserve">p2:3.1.2.1.3</x:t>
        </x:is>
      </x:c>
      <x:c r="B36" t="inlineStr">
        <x:is>
          <x:t xml:space="preserve">Slab on grade (Th=20cm)</x:t>
        </x:is>
      </x:c>
      <x:c r="C36" t="inlineStr">
        <x:is>
          <x:t xml:space="preserve">23.00</x:t>
        </x:is>
      </x:c>
      <x:c r="D36" t="inlineStr">
        <x:is>
          <x:t xml:space="preserve">m2</x:t>
        </x:is>
      </x:c>
      <x:c r="E36" t="inlineStr">
        <x:is>
          <x:t xml:space="preserve">7</x:t>
        </x:is>
      </x:c>
      <x:c r="F36" t="inlineStr">
        <x:is>
          <x:t xml:space="preserve">Covered</x:t>
        </x:is>
      </x:c>
      <x:c r="G36" t="inlineStr">
        <x:is>
          <x:t xml:space="preserve">2</x:t>
        </x:is>
      </x:c>
    </x:row>
    <x:row r="37">
      <x:c r="A37" t="inlineStr">
        <x:is>
          <x:t xml:space="preserve">p2:3.1.2.1.4</x:t>
        </x:is>
      </x:c>
      <x:c r="B37" t="inlineStr">
        <x:is>
          <x:t xml:space="preserve">Concrete Pads on existing slab on grade</x:t>
        </x:is>
      </x:c>
      <x:c r="C37" t="inlineStr">
        <x:is>
          <x:t xml:space="preserve">4.50</x:t>
        </x:is>
      </x:c>
      <x:c r="D37" t="inlineStr">
        <x:is>
          <x:t xml:space="preserve">m3</x:t>
        </x:is>
      </x:c>
      <x:c r="E37" t="inlineStr">
        <x:is>
          <x:t xml:space="preserve">7</x:t>
        </x:is>
      </x:c>
      <x:c r="F37" t="inlineStr">
        <x:is>
          <x:t xml:space="preserve">Covered</x:t>
        </x:is>
      </x:c>
      <x:c r="G37" t="inlineStr">
        <x:is>
          <x:t xml:space="preserve">2</x:t>
        </x:is>
      </x:c>
    </x:row>
    <x:row r="38">
      <x:c r="A38" t="inlineStr">
        <x:is>
          <x:t xml:space="preserve">p2:3.1.2.2.1</x:t>
        </x:is>
      </x:c>
      <x:c r="B38" t="inlineStr">
        <x:is>
          <x:t xml:space="preserve">Isolated Footings</x:t>
        </x:is>
      </x:c>
      <x:c r="C38" t="inlineStr">
        <x:is>
          <x:t xml:space="preserve">80.00</x:t>
        </x:is>
      </x:c>
      <x:c r="D38" t="inlineStr">
        <x:is>
          <x:t xml:space="preserve">m3</x:t>
        </x:is>
      </x:c>
      <x:c r="E38" t="inlineStr">
        <x:is>
          <x:t xml:space="preserve">7</x:t>
        </x:is>
      </x:c>
      <x:c r="F38" t="inlineStr">
        <x:is>
          <x:t xml:space="preserve">Covered</x:t>
        </x:is>
      </x:c>
      <x:c r="G38" t="inlineStr">
        <x:is>
          <x:t xml:space="preserve">2</x:t>
        </x:is>
      </x:c>
    </x:row>
    <x:row r="39">
      <x:c r="A39" t="inlineStr">
        <x:is>
          <x:t xml:space="preserve">p2:3.1.2.2.2</x:t>
        </x:is>
      </x:c>
      <x:c r="B39" t="inlineStr">
        <x:is>
          <x:t xml:space="preserve">Strip Footings</x:t>
        </x:is>
      </x:c>
      <x:c r="C39" t="inlineStr">
        <x:is>
          <x:t xml:space="preserve">114.00</x:t>
        </x:is>
      </x:c>
      <x:c r="D39" t="inlineStr">
        <x:is>
          <x:t xml:space="preserve">m3</x:t>
        </x:is>
      </x:c>
      <x:c r="E39" t="inlineStr">
        <x:is>
          <x:t xml:space="preserve">7</x:t>
        </x:is>
      </x:c>
      <x:c r="F39" t="inlineStr">
        <x:is>
          <x:t xml:space="preserve">Covered</x:t>
        </x:is>
      </x:c>
      <x:c r="G39" t="inlineStr">
        <x:is>
          <x:t xml:space="preserve">2</x:t>
        </x:is>
      </x:c>
    </x:row>
    <x:row r="40">
      <x:c r="A40" t="inlineStr">
        <x:is>
          <x:t xml:space="preserve">p2:3.1.2.2.3</x:t>
        </x:is>
      </x:c>
      <x:c r="B40" t="inlineStr">
        <x:is>
          <x:t xml:space="preserve">Columns; below ground floor</x:t>
        </x:is>
      </x:c>
      <x:c r="C40" t="inlineStr">
        <x:is>
          <x:t xml:space="preserve">3.00</x:t>
        </x:is>
      </x:c>
      <x:c r="D40" t="inlineStr">
        <x:is>
          <x:t xml:space="preserve">m3</x:t>
        </x:is>
      </x:c>
      <x:c r="E40" t="inlineStr">
        <x:is>
          <x:t xml:space="preserve">7</x:t>
        </x:is>
      </x:c>
      <x:c r="F40" t="inlineStr">
        <x:is>
          <x:t xml:space="preserve">Covered</x:t>
        </x:is>
      </x:c>
      <x:c r="G40" t="inlineStr">
        <x:is>
          <x:t xml:space="preserve">2</x:t>
        </x:is>
      </x:c>
    </x:row>
    <x:row r="41">
      <x:c r="A41" t="inlineStr">
        <x:is>
          <x:t xml:space="preserve">p2:3.1.2.2.4</x:t>
        </x:is>
      </x:c>
      <x:c r="B41" t="inlineStr">
        <x:is>
          <x:t xml:space="preserve">Columns; Ground floor</x:t>
        </x:is>
      </x:c>
      <x:c r="C41" t="inlineStr">
        <x:is>
          <x:t xml:space="preserve">14.00</x:t>
        </x:is>
      </x:c>
      <x:c r="D41" t="inlineStr">
        <x:is>
          <x:t xml:space="preserve">m3</x:t>
        </x:is>
      </x:c>
      <x:c r="E41" t="inlineStr">
        <x:is>
          <x:t xml:space="preserve">7</x:t>
        </x:is>
      </x:c>
      <x:c r="F41" t="inlineStr">
        <x:is>
          <x:t xml:space="preserve">Covered</x:t>
        </x:is>
      </x:c>
      <x:c r="G41" t="inlineStr">
        <x:is>
          <x:t xml:space="preserve">2</x:t>
        </x:is>
      </x:c>
    </x:row>
    <x:row r="42">
      <x:c r="A42" t="inlineStr">
        <x:is>
          <x:t xml:space="preserve">p2:3.1.2.2.5</x:t>
        </x:is>
      </x:c>
      <x:c r="B42" t="inlineStr">
        <x:is>
          <x:t xml:space="preserve">Columns; first to roof floor</x:t>
        </x:is>
      </x:c>
      <x:c r="C42" t="inlineStr">
        <x:is>
          <x:t xml:space="preserve">24.50</x:t>
        </x:is>
      </x:c>
      <x:c r="D42" t="inlineStr">
        <x:is>
          <x:t xml:space="preserve">m3</x:t>
        </x:is>
      </x:c>
      <x:c r="E42" t="inlineStr">
        <x:is>
          <x:t xml:space="preserve">7</x:t>
        </x:is>
      </x:c>
      <x:c r="F42" t="inlineStr">
        <x:is>
          <x:t xml:space="preserve">Covered</x:t>
        </x:is>
      </x:c>
      <x:c r="G42" t="inlineStr">
        <x:is>
          <x:t xml:space="preserve">2</x:t>
        </x:is>
      </x:c>
    </x:row>
    <x:row r="43">
      <x:c r="A43" t="inlineStr">
        <x:is>
          <x:t xml:space="preserve">p2:3.1.2.2.6</x:t>
        </x:is>
      </x:c>
      <x:c r="B43" t="inlineStr">
        <x:is>
          <x:t xml:space="preserve">Walls; below ground floor</x:t>
        </x:is>
      </x:c>
      <x:c r="C43" t="inlineStr">
        <x:is>
          <x:t xml:space="preserve">22.00</x:t>
        </x:is>
      </x:c>
      <x:c r="D43" t="inlineStr">
        <x:is>
          <x:t xml:space="preserve">m3</x:t>
        </x:is>
      </x:c>
      <x:c r="E43" t="inlineStr">
        <x:is>
          <x:t xml:space="preserve">7</x:t>
        </x:is>
      </x:c>
      <x:c r="F43" t="inlineStr">
        <x:is>
          <x:t xml:space="preserve">Covered</x:t>
        </x:is>
      </x:c>
      <x:c r="G43" t="inlineStr">
        <x:is>
          <x:t xml:space="preserve">2</x:t>
        </x:is>
      </x:c>
    </x:row>
    <x:row r="44">
      <x:c r="A44" t="inlineStr">
        <x:is>
          <x:t xml:space="preserve">p2:3.1.2.2.7</x:t>
        </x:is>
      </x:c>
      <x:c r="B44" t="inlineStr">
        <x:is>
          <x:t xml:space="preserve">Walls; Ground floor</x:t>
        </x:is>
      </x:c>
      <x:c r="C44" t="inlineStr">
        <x:is>
          <x:t xml:space="preserve">73.00</x:t>
        </x:is>
      </x:c>
      <x:c r="D44" t="inlineStr">
        <x:is>
          <x:t xml:space="preserve">m3</x:t>
        </x:is>
      </x:c>
      <x:c r="E44" t="inlineStr">
        <x:is>
          <x:t xml:space="preserve">7</x:t>
        </x:is>
      </x:c>
      <x:c r="F44" t="inlineStr">
        <x:is>
          <x:t xml:space="preserve">Covered</x:t>
        </x:is>
      </x:c>
      <x:c r="G44" t="inlineStr">
        <x:is>
          <x:t xml:space="preserve">2</x:t>
        </x:is>
      </x:c>
    </x:row>
    <x:row r="45">
      <x:c r="A45" t="inlineStr">
        <x:is>
          <x:t xml:space="preserve">p2:3.1.2.2.8</x:t>
        </x:is>
      </x:c>
      <x:c r="B45" t="inlineStr">
        <x:is>
          <x:t xml:space="preserve">Walls; first to roof floor</x:t>
        </x:is>
      </x:c>
      <x:c r="C45" t="inlineStr">
        <x:is>
          <x:t xml:space="preserve">230.00</x:t>
        </x:is>
      </x:c>
      <x:c r="D45" t="inlineStr">
        <x:is>
          <x:t xml:space="preserve">m3</x:t>
        </x:is>
      </x:c>
      <x:c r="E45" t="inlineStr">
        <x:is>
          <x:t xml:space="preserve">7</x:t>
        </x:is>
      </x:c>
      <x:c r="F45" t="inlineStr">
        <x:is>
          <x:t xml:space="preserve">Covered</x:t>
        </x:is>
      </x:c>
      <x:c r="G45" t="inlineStr">
        <x:is>
          <x:t xml:space="preserve">2</x:t>
        </x:is>
      </x:c>
    </x:row>
    <x:row r="46">
      <x:c r="A46" t="inlineStr">
        <x:is>
          <x:t xml:space="preserve">p2:3.1.2.2.9</x:t>
        </x:is>
      </x:c>
      <x:c r="B46" t="inlineStr">
        <x:is>
          <x:t xml:space="preserve">Ground Floor Solid Slabs (Th=35cm)</x:t>
        </x:is>
      </x:c>
      <x:c r="C46" t="inlineStr">
        <x:is>
          <x:t xml:space="preserve">328.00</x:t>
        </x:is>
      </x:c>
      <x:c r="D46" t="inlineStr">
        <x:is>
          <x:t xml:space="preserve">m2</x:t>
        </x:is>
      </x:c>
      <x:c r="E46" t="inlineStr">
        <x:is>
          <x:t xml:space="preserve">7</x:t>
        </x:is>
      </x:c>
      <x:c r="F46" t="inlineStr">
        <x:is>
          <x:t xml:space="preserve">Covered</x:t>
        </x:is>
      </x:c>
      <x:c r="G46" t="inlineStr">
        <x:is>
          <x:t xml:space="preserve">2</x:t>
        </x:is>
      </x:c>
    </x:row>
    <x:row r="47">
      <x:c r="A47" t="inlineStr">
        <x:is>
          <x:t xml:space="preserve">p2:3.1.2.2.10</x:t>
        </x:is>
      </x:c>
      <x:c r="B47" t="inlineStr">
        <x:is>
          <x:t xml:space="preserve">Suspended solid Slabs from first till roof floor (Th=35cm)</x:t>
        </x:is>
      </x:c>
      <x:c r="C47" t="inlineStr">
        <x:is>
          <x:t xml:space="preserve">1491.00</x:t>
        </x:is>
      </x:c>
      <x:c r="D47" t="inlineStr">
        <x:is>
          <x:t xml:space="preserve">m2</x:t>
        </x:is>
      </x:c>
      <x:c r="E47" t="inlineStr">
        <x:is>
          <x:t xml:space="preserve">7</x:t>
        </x:is>
      </x:c>
      <x:c r="F47" t="inlineStr">
        <x:is>
          <x:t xml:space="preserve">Covered</x:t>
        </x:is>
      </x:c>
      <x:c r="G47" t="inlineStr">
        <x:is>
          <x:t xml:space="preserve">2</x:t>
        </x:is>
      </x:c>
    </x:row>
    <x:row r="48">
      <x:c r="A48" t="inlineStr">
        <x:is>
          <x:t xml:space="preserve">p2:3.1.2.2.11</x:t>
        </x:is>
      </x:c>
      <x:c r="B48" t="inlineStr">
        <x:is>
          <x:t xml:space="preserve">Pitched solid Slabs (Th=24cm), Cost to include formwork on both side to insure</x:t>
        </x:is>
      </x:c>
      <x:c r="C48" t="inlineStr">
        <x:is>
          <x:t xml:space="preserve">460.00</x:t>
        </x:is>
      </x:c>
      <x:c r="D48" t="inlineStr">
        <x:is>
          <x:t xml:space="preserve">m2</x:t>
        </x:is>
      </x:c>
      <x:c r="E48" t="inlineStr">
        <x:is>
          <x:t xml:space="preserve">7</x:t>
        </x:is>
      </x:c>
      <x:c r="F48" t="inlineStr">
        <x:is>
          <x:t xml:space="preserve">Covered</x:t>
        </x:is>
      </x:c>
      <x:c r="G48" t="inlineStr">
        <x:is>
          <x:t xml:space="preserve">2</x:t>
        </x:is>
      </x:c>
    </x:row>
    <x:row r="49">
      <x:c r="A49" t="inlineStr">
        <x:is>
          <x:t xml:space="preserve">p3:3.1.2.2.12</x:t>
        </x:is>
      </x:c>
      <x:c r="B49" t="inlineStr">
        <x:is>
          <x:t xml:space="preserve">Suspended solid Slab (Th=20cm)</x:t>
        </x:is>
      </x:c>
      <x:c r="C49" t="inlineStr">
        <x:is>
          <x:t xml:space="preserve">9.50</x:t>
        </x:is>
      </x:c>
      <x:c r="D49" t="inlineStr">
        <x:is>
          <x:t xml:space="preserve">m2</x:t>
        </x:is>
      </x:c>
      <x:c r="E49" t="inlineStr">
        <x:is>
          <x:t xml:space="preserve">7</x:t>
        </x:is>
      </x:c>
      <x:c r="F49" t="inlineStr">
        <x:is>
          <x:t xml:space="preserve">Covered</x:t>
        </x:is>
      </x:c>
      <x:c r="G49" t="inlineStr">
        <x:is>
          <x:t xml:space="preserve">3</x:t>
        </x:is>
      </x:c>
    </x:row>
    <x:row r="50">
      <x:c r="A50" t="inlineStr">
        <x:is>
          <x:t xml:space="preserve">p3:3.1.2.2.13</x:t>
        </x:is>
      </x:c>
      <x:c r="B50" t="inlineStr">
        <x:is>
          <x:t xml:space="preserve">Reinforced Concrete Manholes, Trench, Sum pit and Collection Pit</x:t>
        </x:is>
      </x:c>
      <x:c r="C50" t="inlineStr">
        <x:is>
          <x:t xml:space="preserve">27.00</x:t>
        </x:is>
      </x:c>
      <x:c r="D50" t="inlineStr">
        <x:is>
          <x:t xml:space="preserve">m3</x:t>
        </x:is>
      </x:c>
      <x:c r="E50" t="inlineStr">
        <x:is>
          <x:t xml:space="preserve">7</x:t>
        </x:is>
      </x:c>
      <x:c r="F50" t="inlineStr">
        <x:is>
          <x:t xml:space="preserve">Covered</x:t>
        </x:is>
      </x:c>
      <x:c r="G50" t="inlineStr">
        <x:is>
          <x:t xml:space="preserve">3</x:t>
        </x:is>
      </x:c>
    </x:row>
    <x:row r="51">
      <x:c r="A51" t="inlineStr">
        <x:is>
          <x:t xml:space="preserve">p3:3.1.2.2.14</x:t>
        </x:is>
      </x:c>
      <x:c r="B51" t="inlineStr">
        <x:is>
          <x:t xml:space="preserve">Non- structural concrete walls "Architectural walls" for Ground Floor</x:t>
        </x:is>
      </x:c>
      <x:c r="C51" t="inlineStr">
        <x:is>
          <x:t xml:space="preserve">16.50</x:t>
        </x:is>
      </x:c>
      <x:c r="D51" t="inlineStr">
        <x:is>
          <x:t xml:space="preserve">m3</x:t>
        </x:is>
      </x:c>
      <x:c r="E51" t="inlineStr">
        <x:is>
          <x:t xml:space="preserve">7</x:t>
        </x:is>
      </x:c>
      <x:c r="F51" t="inlineStr">
        <x:is>
          <x:t xml:space="preserve">Covered</x:t>
        </x:is>
      </x:c>
      <x:c r="G51" t="inlineStr">
        <x:is>
          <x:t xml:space="preserve">3</x:t>
        </x:is>
      </x:c>
    </x:row>
    <x:row r="52">
      <x:c r="A52" t="inlineStr">
        <x:is>
          <x:t xml:space="preserve">p3:3.1.2.2.15</x:t>
        </x:is>
      </x:c>
      <x:c r="B52" t="inlineStr">
        <x:is>
          <x:t xml:space="preserve">Non- structural concrete walls "Architectural walls" for floors from First to</x:t>
        </x:is>
      </x:c>
      <x:c r="C52" t="inlineStr">
        <x:is>
          <x:t xml:space="preserve">55.50</x:t>
        </x:is>
      </x:c>
      <x:c r="D52" t="inlineStr">
        <x:is>
          <x:t xml:space="preserve">m3</x:t>
        </x:is>
      </x:c>
      <x:c r="E52" t="inlineStr">
        <x:is>
          <x:t xml:space="preserve">7</x:t>
        </x:is>
      </x:c>
      <x:c r="F52" t="inlineStr">
        <x:is>
          <x:t xml:space="preserve">Covered</x:t>
        </x:is>
      </x:c>
      <x:c r="G52" t="inlineStr">
        <x:is>
          <x:t xml:space="preserve">3</x:t>
        </x:is>
      </x:c>
    </x:row>
    <x:row r="53">
      <x:c r="A53" t="inlineStr">
        <x:is>
          <x:t xml:space="preserve">p3:3.1.2.2.16</x:t>
        </x:is>
      </x:c>
      <x:c r="B53" t="inlineStr">
        <x:is>
          <x:t xml:space="preserve">Suspended Stairs</x:t>
        </x:is>
      </x:c>
      <x:c r="C53" t="inlineStr">
        <x:is>
          <x:t xml:space="preserve">27.00</x:t>
        </x:is>
      </x:c>
      <x:c r="D53" t="inlineStr">
        <x:is>
          <x:t xml:space="preserve">m3</x:t>
        </x:is>
      </x:c>
      <x:c r="E53" t="inlineStr">
        <x:is>
          <x:t xml:space="preserve">7</x:t>
        </x:is>
      </x:c>
      <x:c r="F53" t="inlineStr">
        <x:is>
          <x:t xml:space="preserve">Covered</x:t>
        </x:is>
      </x:c>
      <x:c r="G53" t="inlineStr">
        <x:is>
          <x:t xml:space="preserve">3</x:t>
        </x:is>
      </x:c>
    </x:row>
    <x:row r="54">
      <x:c r="A54" t="inlineStr">
        <x:is>
          <x:t xml:space="preserve">p3:3.2</x:t>
        </x:is>
      </x:c>
      <x:c r="B54" t="inlineStr">
        <x:is>
          <x:t xml:space="preserve">New Parapet construction - Service Block Building</x:t>
        </x:is>
      </x:c>
      <x:c r="C54" t="inlineStr">
        <x:is>
          <x:t xml:space="preserve">2.00</x:t>
        </x:is>
      </x:c>
      <x:c r="D54" t="inlineStr">
        <x:is>
          <x:t xml:space="preserve">m3</x:t>
        </x:is>
      </x:c>
      <x:c r="E54" t="inlineStr">
        <x:is>
          <x:t xml:space="preserve">7</x:t>
        </x:is>
      </x:c>
      <x:c r="F54" t="inlineStr">
        <x:is>
          <x:t xml:space="preserve">Covered</x:t>
        </x:is>
      </x:c>
      <x:c r="G54" t="inlineStr">
        <x:is>
          <x:t xml:space="preserve">3</x:t>
        </x:is>
      </x:c>
    </x:row>
    <x:row r="55">
      <x:c r="A55" t="inlineStr">
        <x:is>
          <x:t xml:space="preserve">p3:3.3</x:t>
        </x:is>
      </x:c>
      <x:c r="B55" t="inlineStr">
        <x:is>
          <x:t xml:space="preserve">New Drop Beam for existing roof Slab - Service Block Building</x:t>
        </x:is>
      </x:c>
      <x:c r="C55" t="inlineStr">
        <x:is>
          <x:t xml:space="preserve">0.50</x:t>
        </x:is>
      </x:c>
      <x:c r="D55" t="inlineStr">
        <x:is>
          <x:t xml:space="preserve">m3</x:t>
        </x:is>
      </x:c>
      <x:c r="E55" t="inlineStr">
        <x:is>
          <x:t xml:space="preserve">7</x:t>
        </x:is>
      </x:c>
      <x:c r="F55" t="inlineStr">
        <x:is>
          <x:t xml:space="preserve">Covered</x:t>
        </x:is>
      </x:c>
      <x:c r="G55" t="inlineStr">
        <x:is>
          <x:t xml:space="preserve">3</x:t>
        </x:is>
      </x:c>
    </x:row>
    <x:row r="56">
      <x:c r="A56" t="inlineStr">
        <x:is>
          <x:t xml:space="preserve">p3:3.4</x:t>
        </x:is>
      </x:c>
      <x:c r="B56" t="inlineStr">
        <x:is>
          <x:t xml:space="preserve">Existing Concrete Columns and walls Jacketing - Service Block Building</x:t>
        </x:is>
      </x:c>
      <x:c r="C56" t="inlineStr">
        <x:is>
          <x:t xml:space="preserve">20.50</x:t>
        </x:is>
      </x:c>
      <x:c r="D56" t="inlineStr">
        <x:is>
          <x:t xml:space="preserve">m3</x:t>
        </x:is>
      </x:c>
      <x:c r="E56" t="inlineStr">
        <x:is>
          <x:t xml:space="preserve">7</x:t>
        </x:is>
      </x:c>
      <x:c r="F56" t="inlineStr">
        <x:is>
          <x:t xml:space="preserve">Covered</x:t>
        </x:is>
      </x:c>
      <x:c r="G56" t="inlineStr">
        <x:is>
          <x:t xml:space="preserve">3</x:t>
        </x:is>
      </x:c>
    </x:row>
    <x:row r="57">
      <x:c r="A57" t="inlineStr">
        <x:is>
          <x:t xml:space="preserve">p3:3.5</x:t>
        </x:is>
      </x:c>
      <x:c r="B57" t="inlineStr">
        <x:is>
          <x:t xml:space="preserve">Concrete Element Honeycomb repair - Service Block Building</x:t>
        </x:is>
      </x:c>
      <x:c r="C57" t="inlineStr">
        <x:is>
          <x:t xml:space="preserve">1.00</x:t>
        </x:is>
      </x:c>
      <x:c r="D57" t="inlineStr">
        <x:is>
          <x:t xml:space="preserve">LS</x:t>
        </x:is>
      </x:c>
      <x:c r="E57" t="inlineStr">
        <x:is>
          <x:t xml:space="preserve">7</x:t>
        </x:is>
      </x:c>
      <x:c r="F57" t="inlineStr">
        <x:is>
          <x:t xml:space="preserve">Covered</x:t>
        </x:is>
      </x:c>
      <x:c r="G57" t="inlineStr">
        <x:is>
          <x:t xml:space="preserve">3</x:t>
        </x:is>
      </x:c>
    </x:row>
    <x:row r="58">
      <x:c r="A58" t="inlineStr">
        <x:is>
          <x:t xml:space="preserve">p3:3.6</x:t>
        </x:is>
      </x:c>
      <x:c r="B58" t="inlineStr">
        <x:is>
          <x:t xml:space="preserve">Ramp for Disabled - Mountain Warfare Ski School</x:t>
        </x:is>
      </x:c>
      <x:c r="C58" t="inlineStr">
        <x:is>
          <x:t xml:space="preserve">15.00</x:t>
        </x:is>
      </x:c>
      <x:c r="D58" t="inlineStr">
        <x:is>
          <x:t xml:space="preserve">m2</x:t>
        </x:is>
      </x:c>
      <x:c r="E58" t="inlineStr">
        <x:is>
          <x:t xml:space="preserve">7</x:t>
        </x:is>
      </x:c>
      <x:c r="F58" t="inlineStr">
        <x:is>
          <x:t xml:space="preserve">Covered</x:t>
        </x:is>
      </x:c>
      <x:c r="G58" t="inlineStr">
        <x:is>
          <x:t xml:space="preserve">3</x:t>
        </x:is>
      </x:c>
    </x:row>
    <x:row r="59">
      <x:c r="A59" t="inlineStr">
        <x:is>
          <x:t xml:space="preserve">p3:3.7.1</x:t>
        </x:is>
      </x:c>
      <x:c r="B59" t="inlineStr">
        <x:is>
          <x:t xml:space="preserve">Outdoor Concrete pavement TH=22cm ready to receive exterior epoxy paint</x:t>
        </x:is>
      </x:c>
      <x:c r="C59" t="inlineStr">
        <x:is>
          <x:t xml:space="preserve">168.00</x:t>
        </x:is>
      </x:c>
      <x:c r="D59" t="inlineStr">
        <x:is>
          <x:t xml:space="preserve">m2</x:t>
        </x:is>
      </x:c>
      <x:c r="E59" t="inlineStr">
        <x:is>
          <x:t xml:space="preserve">7</x:t>
        </x:is>
      </x:c>
      <x:c r="F59" t="inlineStr">
        <x:is>
          <x:t xml:space="preserve">Covered</x:t>
        </x:is>
      </x:c>
      <x:c r="G59" t="inlineStr">
        <x:is>
          <x:t xml:space="preserve">3</x:t>
        </x:is>
      </x:c>
    </x:row>
    <x:row r="60">
      <x:c r="A60" t="inlineStr">
        <x:is>
          <x:t xml:space="preserve">p3:3.7.2</x:t>
        </x:is>
      </x:c>
      <x:c r="B60" t="inlineStr">
        <x:is>
          <x:t xml:space="preserve">Outdoor Concrete Stairs Ready to Receive Exterior Epoxy Paint</x:t>
        </x:is>
      </x:c>
      <x:c r="C60" t="inlineStr">
        <x:is>
          <x:t xml:space="preserve">20.00</x:t>
        </x:is>
      </x:c>
      <x:c r="D60" t="inlineStr">
        <x:is>
          <x:t xml:space="preserve">m3</x:t>
        </x:is>
      </x:c>
      <x:c r="E60" t="inlineStr">
        <x:is>
          <x:t xml:space="preserve">7</x:t>
        </x:is>
      </x:c>
      <x:c r="F60" t="inlineStr">
        <x:is>
          <x:t xml:space="preserve">Covered</x:t>
        </x:is>
      </x:c>
      <x:c r="G60" t="inlineStr">
        <x:is>
          <x:t xml:space="preserve">3</x:t>
        </x:is>
      </x:c>
    </x:row>
    <x:row r="61">
      <x:c r="A61" t="inlineStr">
        <x:is>
          <x:t xml:space="preserve">p4:3.8.1.1</x:t>
        </x:is>
      </x:c>
      <x:c r="B61" t="inlineStr">
        <x:is>
          <x:t xml:space="preserve">Steel bar reinforcement</x:t>
        </x:is>
      </x:c>
      <x:c r="C61" t="inlineStr">
        <x:is>
          <x:t xml:space="preserve">1.60</x:t>
        </x:is>
      </x:c>
      <x:c r="D61" t="inlineStr">
        <x:is>
          <x:t xml:space="preserve">Ton</x:t>
        </x:is>
      </x:c>
      <x:c r="E61" t="inlineStr">
        <x:is>
          <x:t xml:space="preserve">7</x:t>
        </x:is>
      </x:c>
      <x:c r="F61" t="inlineStr">
        <x:is>
          <x:t xml:space="preserve">Covered</x:t>
        </x:is>
      </x:c>
      <x:c r="G61" t="inlineStr">
        <x:is>
          <x:t xml:space="preserve">4</x:t>
        </x:is>
      </x:c>
    </x:row>
    <x:row r="62">
      <x:c r="A62" t="inlineStr">
        <x:is>
          <x:t xml:space="preserve">p4:3.8.2.1</x:t>
        </x:is>
      </x:c>
      <x:c r="B62" t="inlineStr">
        <x:is>
          <x:t xml:space="preserve">Steel bar reinforcement</x:t>
        </x:is>
      </x:c>
      <x:c r="C62" t="inlineStr">
        <x:is>
          <x:t xml:space="preserve">189.00</x:t>
        </x:is>
      </x:c>
      <x:c r="D62" t="inlineStr">
        <x:is>
          <x:t xml:space="preserve">Ton</x:t>
        </x:is>
      </x:c>
      <x:c r="E62" t="inlineStr">
        <x:is>
          <x:t xml:space="preserve">7</x:t>
        </x:is>
      </x:c>
      <x:c r="F62" t="inlineStr">
        <x:is>
          <x:t xml:space="preserve">Covered</x:t>
        </x:is>
      </x:c>
      <x:c r="G62" t="inlineStr">
        <x:is>
          <x:t xml:space="preserve">4</x:t>
        </x:is>
      </x:c>
    </x:row>
    <x:row r="63">
      <x:c r="A63" t="inlineStr">
        <x:is>
          <x:t xml:space="preserve">p4:4.1.1.1</x:t>
        </x:is>
      </x:c>
      <x:c r="B63" t="inlineStr">
        <x:is>
          <x:t xml:space="preserve">10cm Hollow concrete blocks</x:t>
        </x:is>
      </x:c>
      <x:c r="C63" t="inlineStr">
        <x:is>
          <x:t xml:space="preserve">175.00</x:t>
        </x:is>
      </x:c>
      <x:c r="D63" t="inlineStr">
        <x:is>
          <x:t xml:space="preserve">m2</x:t>
        </x:is>
      </x:c>
      <x:c r="E63" t="inlineStr">
        <x:is>
          <x:t xml:space="preserve">10</x:t>
        </x:is>
      </x:c>
      <x:c r="F63" t="inlineStr">
        <x:is>
          <x:t xml:space="preserve">Covered</x:t>
        </x:is>
      </x:c>
      <x:c r="G63" t="inlineStr">
        <x:is>
          <x:t xml:space="preserve">4</x:t>
        </x:is>
      </x:c>
    </x:row>
    <x:row r="64">
      <x:c r="A64" t="inlineStr">
        <x:is>
          <x:t xml:space="preserve">p4:4.1.1.2</x:t>
        </x:is>
      </x:c>
      <x:c r="B64" t="inlineStr">
        <x:is>
          <x:t xml:space="preserve">15cm Hollow Concrete blocks</x:t>
        </x:is>
      </x:c>
      <x:c r="C64" t="inlineStr">
        <x:is>
          <x:t xml:space="preserve">10.00</x:t>
        </x:is>
      </x:c>
      <x:c r="D64" t="inlineStr">
        <x:is>
          <x:t xml:space="preserve">m2</x:t>
        </x:is>
      </x:c>
      <x:c r="E64" t="inlineStr">
        <x:is>
          <x:t xml:space="preserve">10</x:t>
        </x:is>
      </x:c>
      <x:c r="F64" t="inlineStr">
        <x:is>
          <x:t xml:space="preserve">Covered</x:t>
        </x:is>
      </x:c>
      <x:c r="G64" t="inlineStr">
        <x:is>
          <x:t xml:space="preserve">4</x:t>
        </x:is>
      </x:c>
    </x:row>
    <x:row r="65">
      <x:c r="A65" t="inlineStr">
        <x:is>
          <x:t xml:space="preserve">p4:4.1.1.3</x:t>
        </x:is>
      </x:c>
      <x:c r="B65" t="inlineStr">
        <x:is>
          <x:t xml:space="preserve">20cm Hollow Concrete blocks</x:t>
        </x:is>
      </x:c>
      <x:c r="C65" t="inlineStr">
        <x:is>
          <x:t xml:space="preserve">48.50</x:t>
        </x:is>
      </x:c>
      <x:c r="D65" t="inlineStr">
        <x:is>
          <x:t xml:space="preserve">m2</x:t>
        </x:is>
      </x:c>
      <x:c r="E65" t="inlineStr">
        <x:is>
          <x:t xml:space="preserve">10</x:t>
        </x:is>
      </x:c>
      <x:c r="F65" t="inlineStr">
        <x:is>
          <x:t xml:space="preserve">Covered</x:t>
        </x:is>
      </x:c>
      <x:c r="G65" t="inlineStr">
        <x:is>
          <x:t xml:space="preserve">4</x:t>
        </x:is>
      </x:c>
    </x:row>
    <x:row r="66">
      <x:c r="A66" t="inlineStr">
        <x:is>
          <x:t xml:space="preserve">p4:4.1.2.1</x:t>
        </x:is>
      </x:c>
      <x:c r="B66" t="inlineStr">
        <x:is>
          <x:t xml:space="preserve">10cm Hollow concrete blocks</x:t>
        </x:is>
      </x:c>
      <x:c r="C66" t="inlineStr">
        <x:is>
          <x:t xml:space="preserve">134.50</x:t>
        </x:is>
      </x:c>
      <x:c r="D66" t="inlineStr">
        <x:is>
          <x:t xml:space="preserve">m2</x:t>
        </x:is>
      </x:c>
      <x:c r="E66" t="inlineStr">
        <x:is>
          <x:t xml:space="preserve">10</x:t>
        </x:is>
      </x:c>
      <x:c r="F66" t="inlineStr">
        <x:is>
          <x:t xml:space="preserve">Covered</x:t>
        </x:is>
      </x:c>
      <x:c r="G66" t="inlineStr">
        <x:is>
          <x:t xml:space="preserve">4</x:t>
        </x:is>
      </x:c>
    </x:row>
    <x:row r="67">
      <x:c r="A67" t="inlineStr">
        <x:is>
          <x:t xml:space="preserve">p4:4.1.2.2</x:t>
        </x:is>
      </x:c>
      <x:c r="B67" t="inlineStr">
        <x:is>
          <x:t xml:space="preserve">12cm Hollow Concrete blocks</x:t>
        </x:is>
      </x:c>
      <x:c r="C67" t="inlineStr">
        <x:is>
          <x:t xml:space="preserve">584.00</x:t>
        </x:is>
      </x:c>
      <x:c r="D67" t="inlineStr">
        <x:is>
          <x:t xml:space="preserve">m2</x:t>
        </x:is>
      </x:c>
      <x:c r="E67" t="inlineStr">
        <x:is>
          <x:t xml:space="preserve">10</x:t>
        </x:is>
      </x:c>
      <x:c r="F67" t="inlineStr">
        <x:is>
          <x:t xml:space="preserve">Covered</x:t>
        </x:is>
      </x:c>
      <x:c r="G67" t="inlineStr">
        <x:is>
          <x:t xml:space="preserve">4</x:t>
        </x:is>
      </x:c>
    </x:row>
    <x:row r="68">
      <x:c r="A68" t="inlineStr">
        <x:is>
          <x:t xml:space="preserve">p4:4.1.2.3</x:t>
        </x:is>
      </x:c>
      <x:c r="B68" t="inlineStr">
        <x:is>
          <x:t xml:space="preserve">15cm Hollow Concrete blocks</x:t>
        </x:is>
      </x:c>
      <x:c r="C68" t="inlineStr">
        <x:is>
          <x:t xml:space="preserve">25.00</x:t>
        </x:is>
      </x:c>
      <x:c r="D68" t="inlineStr">
        <x:is>
          <x:t xml:space="preserve">m2</x:t>
        </x:is>
      </x:c>
      <x:c r="E68" t="inlineStr">
        <x:is>
          <x:t xml:space="preserve">10</x:t>
        </x:is>
      </x:c>
      <x:c r="F68" t="inlineStr">
        <x:is>
          <x:t xml:space="preserve">Covered</x:t>
        </x:is>
      </x:c>
      <x:c r="G68" t="inlineStr">
        <x:is>
          <x:t xml:space="preserve">4</x:t>
        </x:is>
      </x:c>
    </x:row>
    <x:row r="69">
      <x:c r="A69" t="inlineStr">
        <x:is>
          <x:t xml:space="preserve">p4:4.1.2.4</x:t>
        </x:is>
      </x:c>
      <x:c r="B69" t="inlineStr">
        <x:is>
          <x:t xml:space="preserve">20cm Hollow Concrete blocks</x:t>
        </x:is>
      </x:c>
      <x:c r="C69" t="inlineStr">
        <x:is>
          <x:t xml:space="preserve">1026.00</x:t>
        </x:is>
      </x:c>
      <x:c r="D69" t="inlineStr">
        <x:is>
          <x:t xml:space="preserve">m2</x:t>
        </x:is>
      </x:c>
      <x:c r="E69" t="inlineStr">
        <x:is>
          <x:t xml:space="preserve">10</x:t>
        </x:is>
      </x:c>
      <x:c r="F69" t="inlineStr">
        <x:is>
          <x:t xml:space="preserve">Covered</x:t>
        </x:is>
      </x:c>
      <x:c r="G69" t="inlineStr">
        <x:is>
          <x:t xml:space="preserve">4</x:t>
        </x:is>
      </x:c>
    </x:row>
    <x:row r="70">
      <x:c r="A70" t="inlineStr">
        <x:is>
          <x:t xml:space="preserve">p4:5.1</x:t>
        </x:is>
      </x:c>
      <x:c r="B70" t="inlineStr">
        <x:is>
          <x:t xml:space="preserve">Burglar Proof Protection</x:t>
        </x:is>
      </x:c>
      <x:c r="C70" t="inlineStr">
        <x:is>
          <x:t xml:space="preserve">13.00</x:t>
        </x:is>
      </x:c>
      <x:c r="D70" t="inlineStr">
        <x:is>
          <x:t xml:space="preserve">m2</x:t>
        </x:is>
      </x:c>
      <x:c r="E70" t="inlineStr">
        <x:is>
          <x:t xml:space="preserve">19</x:t>
        </x:is>
      </x:c>
      <x:c r="F70" t="inlineStr">
        <x:is>
          <x:t xml:space="preserve">Covered</x:t>
        </x:is>
      </x:c>
      <x:c r="G70" t="inlineStr">
        <x:is>
          <x:t xml:space="preserve">4</x:t>
        </x:is>
      </x:c>
    </x:row>
    <x:row r="71">
      <x:c r="A71" t="inlineStr">
        <x:is>
          <x:t xml:space="preserve">p4:5.2.1</x:t>
        </x:is>
      </x:c>
      <x:c r="B71" t="inlineStr">
        <x:is>
          <x:t xml:space="preserve">Handrail Staircase (RL02a)</x:t>
        </x:is>
      </x:c>
      <x:c r="C71" t="inlineStr">
        <x:is>
          <x:t xml:space="preserve">64.00</x:t>
        </x:is>
      </x:c>
      <x:c r="D71" t="inlineStr">
        <x:is>
          <x:t xml:space="preserve">Lm</x:t>
        </x:is>
      </x:c>
      <x:c r="E71" t="inlineStr">
        <x:is>
          <x:t xml:space="preserve">19</x:t>
        </x:is>
      </x:c>
      <x:c r="F71" t="inlineStr">
        <x:is>
          <x:t xml:space="preserve">Covered</x:t>
        </x:is>
      </x:c>
      <x:c r="G71" t="inlineStr">
        <x:is>
          <x:t xml:space="preserve">4</x:t>
        </x:is>
      </x:c>
    </x:row>
    <x:row r="72">
      <x:c r="A72" t="inlineStr">
        <x:is>
          <x:t xml:space="preserve">p4:5.2.2</x:t>
        </x:is>
      </x:c>
      <x:c r="B72" t="inlineStr">
        <x:is>
          <x:t xml:space="preserve">Handrail Staircase (RL02b)</x:t>
        </x:is>
      </x:c>
      <x:c r="C72" t="inlineStr">
        <x:is>
          <x:t xml:space="preserve">29.00</x:t>
        </x:is>
      </x:c>
      <x:c r="D72" t="inlineStr">
        <x:is>
          <x:t xml:space="preserve">Lm</x:t>
        </x:is>
      </x:c>
      <x:c r="E72" t="inlineStr">
        <x:is>
          <x:t xml:space="preserve">19</x:t>
        </x:is>
      </x:c>
      <x:c r="F72" t="inlineStr">
        <x:is>
          <x:t xml:space="preserve">Covered</x:t>
        </x:is>
      </x:c>
      <x:c r="G72" t="inlineStr">
        <x:is>
          <x:t xml:space="preserve">4</x:t>
        </x:is>
      </x:c>
    </x:row>
    <x:row r="73">
      <x:c r="A73" t="inlineStr">
        <x:is>
          <x:t xml:space="preserve">p4:5.2.3</x:t>
        </x:is>
      </x:c>
      <x:c r="B73" t="inlineStr">
        <x:is>
          <x:t xml:space="preserve">Handrail Staircase (RL01a)</x:t>
        </x:is>
      </x:c>
      <x:c r="C73" t="inlineStr">
        <x:is>
          <x:t xml:space="preserve">40.00</x:t>
        </x:is>
      </x:c>
      <x:c r="D73" t="inlineStr">
        <x:is>
          <x:t xml:space="preserve">Lm</x:t>
        </x:is>
      </x:c>
      <x:c r="E73" t="inlineStr">
        <x:is>
          <x:t xml:space="preserve">19</x:t>
        </x:is>
      </x:c>
      <x:c r="F73" t="inlineStr">
        <x:is>
          <x:t xml:space="preserve">Covered</x:t>
        </x:is>
      </x:c>
      <x:c r="G73" t="inlineStr">
        <x:is>
          <x:t xml:space="preserve">4</x:t>
        </x:is>
      </x:c>
    </x:row>
    <x:row r="74">
      <x:c r="A74" t="inlineStr">
        <x:is>
          <x:t xml:space="preserve">p4:5.2.4</x:t>
        </x:is>
      </x:c>
      <x:c r="B74" t="inlineStr">
        <x:is>
          <x:t xml:space="preserve">Handrail Stepped Walkway (RL03)</x:t>
        </x:is>
      </x:c>
      <x:c r="C74" t="inlineStr">
        <x:is>
          <x:t xml:space="preserve">11.00</x:t>
        </x:is>
      </x:c>
      <x:c r="D74" t="inlineStr">
        <x:is>
          <x:t xml:space="preserve">Lm</x:t>
        </x:is>
      </x:c>
      <x:c r="E74" t="inlineStr">
        <x:is>
          <x:t xml:space="preserve">19</x:t>
        </x:is>
      </x:c>
      <x:c r="F74" t="inlineStr">
        <x:is>
          <x:t xml:space="preserve">Covered</x:t>
        </x:is>
      </x:c>
      <x:c r="G74" t="inlineStr">
        <x:is>
          <x:t xml:space="preserve">4</x:t>
        </x:is>
      </x:c>
    </x:row>
    <x:row r="75">
      <x:c r="A75" t="inlineStr">
        <x:is>
          <x:t xml:space="preserve">p4:5.2.5</x:t>
        </x:is>
      </x:c>
      <x:c r="B75" t="inlineStr">
        <x:is>
          <x:t xml:space="preserve">Ramp Staircase (RL04a)</x:t>
        </x:is>
      </x:c>
      <x:c r="C75" t="inlineStr">
        <x:is>
          <x:t xml:space="preserve">11.00</x:t>
        </x:is>
      </x:c>
      <x:c r="D75" t="inlineStr">
        <x:is>
          <x:t xml:space="preserve">Lm</x:t>
        </x:is>
      </x:c>
      <x:c r="E75" t="inlineStr">
        <x:is>
          <x:t xml:space="preserve">19</x:t>
        </x:is>
      </x:c>
      <x:c r="F75" t="inlineStr">
        <x:is>
          <x:t xml:space="preserve">Covered</x:t>
        </x:is>
      </x:c>
      <x:c r="G75" t="inlineStr">
        <x:is>
          <x:t xml:space="preserve">4</x:t>
        </x:is>
      </x:c>
    </x:row>
    <x:row r="76">
      <x:c r="A76" t="inlineStr">
        <x:is>
          <x:t xml:space="preserve">p4:5.2.6</x:t>
        </x:is>
      </x:c>
      <x:c r="B76" t="inlineStr">
        <x:is>
          <x:t xml:space="preserve">Ramp Staircase (RL04b)</x:t>
        </x:is>
      </x:c>
      <x:c r="C76" t="inlineStr">
        <x:is>
          <x:t xml:space="preserve">2.50</x:t>
        </x:is>
      </x:c>
      <x:c r="D76" t="inlineStr">
        <x:is>
          <x:t xml:space="preserve">Lm</x:t>
        </x:is>
      </x:c>
      <x:c r="E76" t="inlineStr">
        <x:is>
          <x:t xml:space="preserve">19</x:t>
        </x:is>
      </x:c>
      <x:c r="F76" t="inlineStr">
        <x:is>
          <x:t xml:space="preserve">Covered</x:t>
        </x:is>
      </x:c>
      <x:c r="G76" t="inlineStr">
        <x:is>
          <x:t xml:space="preserve">4</x:t>
        </x:is>
      </x:c>
    </x:row>
    <x:row r="77">
      <x:c r="A77" t="inlineStr">
        <x:is>
          <x:t xml:space="preserve">p4:5.2.7</x:t>
        </x:is>
      </x:c>
      <x:c r="B77" t="inlineStr">
        <x:is>
          <x:t xml:space="preserve">Steel Handrail for Catwalk Platforms (RL05a)</x:t>
        </x:is>
      </x:c>
      <x:c r="C77" t="inlineStr">
        <x:is>
          <x:t xml:space="preserve">47.00</x:t>
        </x:is>
      </x:c>
      <x:c r="D77" t="inlineStr">
        <x:is>
          <x:t xml:space="preserve">Lm</x:t>
        </x:is>
      </x:c>
      <x:c r="E77" t="inlineStr">
        <x:is>
          <x:t xml:space="preserve">19</x:t>
        </x:is>
      </x:c>
      <x:c r="F77" t="inlineStr">
        <x:is>
          <x:t xml:space="preserve">Covered</x:t>
        </x:is>
      </x:c>
      <x:c r="G77" t="inlineStr">
        <x:is>
          <x:t xml:space="preserve">4</x:t>
        </x:is>
      </x:c>
    </x:row>
    <x:row r="78">
      <x:c r="A78" t="inlineStr">
        <x:is>
          <x:t xml:space="preserve">p4:5.2.8</x:t>
        </x:is>
      </x:c>
      <x:c r="B78" t="inlineStr">
        <x:is>
          <x:t xml:space="preserve">Steel Handrail for Roof Ladder (RL05b)</x:t>
        </x:is>
      </x:c>
      <x:c r="C78" t="inlineStr">
        <x:is>
          <x:t xml:space="preserve">10.50</x:t>
        </x:is>
      </x:c>
      <x:c r="D78" t="inlineStr">
        <x:is>
          <x:t xml:space="preserve">Lm</x:t>
        </x:is>
      </x:c>
      <x:c r="E78" t="inlineStr">
        <x:is>
          <x:t xml:space="preserve">19</x:t>
        </x:is>
      </x:c>
      <x:c r="F78" t="inlineStr">
        <x:is>
          <x:t xml:space="preserve">Covered</x:t>
        </x:is>
      </x:c>
      <x:c r="G78" t="inlineStr">
        <x:is>
          <x:t xml:space="preserve">4</x:t>
        </x:is>
      </x:c>
    </x:row>
    <x:row r="79">
      <x:c r="A79" t="inlineStr">
        <x:is>
          <x:t xml:space="preserve">p4:5.2.9</x:t>
        </x:is>
      </x:c>
      <x:c r="B79" t="inlineStr">
        <x:is>
          <x:t xml:space="preserve">Steel Handrail for Roof access ladders from roof level to reach top of roof</x:t>
        </x:is>
      </x:c>
      <x:c r="C79" t="inlineStr">
        <x:is>
          <x:t xml:space="preserve">14.00</x:t>
        </x:is>
      </x:c>
      <x:c r="D79" t="inlineStr">
        <x:is>
          <x:t xml:space="preserve">Lm</x:t>
        </x:is>
      </x:c>
      <x:c r="E79" t="inlineStr">
        <x:is>
          <x:t xml:space="preserve">19</x:t>
        </x:is>
      </x:c>
      <x:c r="F79" t="inlineStr">
        <x:is>
          <x:t xml:space="preserve">Covered</x:t>
        </x:is>
      </x:c>
      <x:c r="G79" t="inlineStr">
        <x:is>
          <x:t xml:space="preserve">4</x:t>
        </x:is>
      </x:c>
    </x:row>
    <x:row r="80">
      <x:c r="A80" t="inlineStr">
        <x:is>
          <x:t xml:space="preserve">p4:5.2.10</x:t>
        </x:is>
      </x:c>
      <x:c r="B80" t="inlineStr">
        <x:is>
          <x:t xml:space="preserve">Steel Guardrail for Roof attic (RL07)</x:t>
        </x:is>
      </x:c>
      <x:c r="C80" t="inlineStr">
        <x:is>
          <x:t xml:space="preserve">4.00</x:t>
        </x:is>
      </x:c>
      <x:c r="D80" t="inlineStr">
        <x:is>
          <x:t xml:space="preserve">Lm</x:t>
        </x:is>
      </x:c>
      <x:c r="E80" t="inlineStr">
        <x:is>
          <x:t xml:space="preserve">19</x:t>
        </x:is>
      </x:c>
      <x:c r="F80" t="inlineStr">
        <x:is>
          <x:t xml:space="preserve">Covered</x:t>
        </x:is>
      </x:c>
      <x:c r="G80" t="inlineStr">
        <x:is>
          <x:t xml:space="preserve">4</x:t>
        </x:is>
      </x:c>
    </x:row>
    <x:row r="81">
      <x:c r="A81" t="inlineStr">
        <x:is>
          <x:t xml:space="preserve">p4:5.3.1</x:t>
        </x:is>
      </x:c>
      <x:c r="B81" t="inlineStr">
        <x:is>
          <x:t xml:space="preserve">Roof access ladders from roof level to reach top of roof</x:t>
        </x:is>
      </x:c>
      <x:c r="C81" t="inlineStr">
        <x:is>
          <x:t xml:space="preserve">1.00</x:t>
        </x:is>
      </x:c>
      <x:c r="D81" t="inlineStr">
        <x:is>
          <x:t xml:space="preserve">No.</x:t>
        </x:is>
      </x:c>
      <x:c r="E81" t="inlineStr">
        <x:is>
          <x:t xml:space="preserve">19</x:t>
        </x:is>
      </x:c>
      <x:c r="F81" t="inlineStr">
        <x:is>
          <x:t xml:space="preserve">Covered</x:t>
        </x:is>
      </x:c>
      <x:c r="G81" t="inlineStr">
        <x:is>
          <x:t xml:space="preserve">4</x:t>
        </x:is>
      </x:c>
    </x:row>
    <x:row r="82">
      <x:c r="A82" t="inlineStr">
        <x:is>
          <x:t xml:space="preserve">p4:5.3.2</x:t>
        </x:is>
      </x:c>
      <x:c r="B82" t="inlineStr">
        <x:is>
          <x:t xml:space="preserve">Top of Roof access ladders connecting between roof catwalks</x:t>
        </x:is>
      </x:c>
      <x:c r="C82" t="inlineStr">
        <x:is>
          <x:t xml:space="preserve">2.00</x:t>
        </x:is>
      </x:c>
      <x:c r="D82" t="inlineStr">
        <x:is>
          <x:t xml:space="preserve">No.</x:t>
        </x:is>
      </x:c>
      <x:c r="E82" t="inlineStr">
        <x:is>
          <x:t xml:space="preserve">19</x:t>
        </x:is>
      </x:c>
      <x:c r="F82" t="inlineStr">
        <x:is>
          <x:t xml:space="preserve">Covered</x:t>
        </x:is>
      </x:c>
      <x:c r="G82" t="inlineStr">
        <x:is>
          <x:t xml:space="preserve">4</x:t>
        </x:is>
      </x:c>
    </x:row>
    <x:row r="83">
      <x:c r="A83" t="inlineStr">
        <x:is>
          <x:t xml:space="preserve">p4:5.3.3</x:t>
        </x:is>
      </x:c>
      <x:c r="B83" t="inlineStr">
        <x:is>
          <x:t xml:space="preserve">Fall Arrest System</x:t>
        </x:is>
      </x:c>
      <x:c r="C83" t="inlineStr">
        <x:is>
          <x:t xml:space="preserve">1.00</x:t>
        </x:is>
      </x:c>
      <x:c r="D83" t="inlineStr">
        <x:is>
          <x:t xml:space="preserve">Item</x:t>
        </x:is>
      </x:c>
      <x:c r="E83" t="inlineStr">
        <x:is>
          <x:t xml:space="preserve">19</x:t>
        </x:is>
      </x:c>
      <x:c r="F83" t="inlineStr">
        <x:is>
          <x:t xml:space="preserve">Covered</x:t>
        </x:is>
      </x:c>
      <x:c r="G83" t="inlineStr">
        <x:is>
          <x:t xml:space="preserve">4</x:t>
        </x:is>
      </x:c>
    </x:row>
    <x:row r="84">
      <x:c r="A84" t="inlineStr">
        <x:is>
          <x:t xml:space="preserve">p4:5.4</x:t>
        </x:is>
      </x:c>
      <x:c r="B84" t="inlineStr">
        <x:is>
          <x:t xml:space="preserve">Galvanized steel access hatch retractable cover 600mm x 600 mm for technical</x:t>
        </x:is>
      </x:c>
      <x:c r="C84" t="inlineStr">
        <x:is>
          <x:t xml:space="preserve">1.00</x:t>
        </x:is>
      </x:c>
      <x:c r="D84" t="inlineStr">
        <x:is>
          <x:t xml:space="preserve">No.</x:t>
        </x:is>
      </x:c>
      <x:c r="E84" t="inlineStr">
        <x:is>
          <x:t xml:space="preserve">19</x:t>
        </x:is>
      </x:c>
      <x:c r="F84" t="inlineStr">
        <x:is>
          <x:t xml:space="preserve">Covered</x:t>
        </x:is>
      </x:c>
      <x:c r="G84" t="inlineStr">
        <x:is>
          <x:t xml:space="preserve">4</x:t>
        </x:is>
      </x:c>
    </x:row>
    <x:row r="85">
      <x:c r="A85" t="inlineStr">
        <x:is>
          <x:t xml:space="preserve">p4:5.5</x:t>
        </x:is>
      </x:c>
      <x:c r="B85" t="inlineStr">
        <x:is>
          <x:t xml:space="preserve">Galvanized steel access hatch retractable cover 3750 mm x 900 mm for technical</x:t>
        </x:is>
      </x:c>
      <x:c r="C85" t="inlineStr">
        <x:is>
          <x:t xml:space="preserve">1.00</x:t>
        </x:is>
      </x:c>
      <x:c r="D85" t="inlineStr">
        <x:is>
          <x:t xml:space="preserve">No.</x:t>
        </x:is>
      </x:c>
      <x:c r="E85" t="inlineStr">
        <x:is>
          <x:t xml:space="preserve">19</x:t>
        </x:is>
      </x:c>
      <x:c r="F85" t="inlineStr">
        <x:is>
          <x:t xml:space="preserve">Covered</x:t>
        </x:is>
      </x:c>
      <x:c r="G85" t="inlineStr">
        <x:is>
          <x:t xml:space="preserve">4</x:t>
        </x:is>
      </x:c>
    </x:row>
    <x:row r="86">
      <x:c r="A86" t="inlineStr">
        <x:is>
          <x:t xml:space="preserve">p4:5.6</x:t>
        </x:is>
      </x:c>
      <x:c r="B86" t="inlineStr">
        <x:is>
          <x:t xml:space="preserve">Metallic Structure for PV Panels Mounting: (New Construction Building)</x:t>
        </x:is>
      </x:c>
      <x:c r="C86" t="inlineStr">
        <x:is>
          <x:t xml:space="preserve">1.10</x:t>
        </x:is>
      </x:c>
      <x:c r="D86" t="inlineStr">
        <x:is>
          <x:t xml:space="preserve">Ton</x:t>
        </x:is>
      </x:c>
      <x:c r="E86" t="inlineStr">
        <x:is>
          <x:t xml:space="preserve">19</x:t>
        </x:is>
      </x:c>
      <x:c r="F86" t="inlineStr">
        <x:is>
          <x:t xml:space="preserve">Covered</x:t>
        </x:is>
      </x:c>
      <x:c r="G86" t="inlineStr">
        <x:is>
          <x:t xml:space="preserve">4</x:t>
        </x:is>
      </x:c>
    </x:row>
    <x:row r="87">
      <x:c r="A87" t="inlineStr">
        <x:is>
          <x:t xml:space="preserve">p4:5.7</x:t>
        </x:is>
      </x:c>
      <x:c r="B87" t="inlineStr">
        <x:is>
          <x:t xml:space="preserve">Metallic Structure for Top of Roof Cat-Walk: (New Construction Building)</x:t>
        </x:is>
      </x:c>
      <x:c r="C87" t="inlineStr">
        <x:is>
          <x:t xml:space="preserve">40.00</x:t>
        </x:is>
      </x:c>
      <x:c r="D87" t="inlineStr">
        <x:is>
          <x:t xml:space="preserve">Lm</x:t>
        </x:is>
      </x:c>
      <x:c r="E87" t="inlineStr">
        <x:is>
          <x:t xml:space="preserve">19</x:t>
        </x:is>
      </x:c>
      <x:c r="F87" t="inlineStr">
        <x:is>
          <x:t xml:space="preserve">Covered</x:t>
        </x:is>
      </x:c>
      <x:c r="G87" t="inlineStr">
        <x:is>
          <x:t xml:space="preserve">4</x:t>
        </x:is>
      </x:c>
    </x:row>
    <x:row r="88">
      <x:c r="A88" t="inlineStr">
        <x:is>
          <x:t xml:space="preserve">p4:5.8</x:t>
        </x:is>
      </x:c>
      <x:c r="B88" t="inlineStr">
        <x:is>
          <x:t xml:space="preserve">Metallic Structure for New Shed: (service block building)</x:t>
        </x:is>
      </x:c>
      <x:c r="C88" t="inlineStr">
        <x:is>
          <x:t xml:space="preserve">2.50</x:t>
        </x:is>
      </x:c>
      <x:c r="D88" t="inlineStr">
        <x:is>
          <x:t xml:space="preserve">Ton</x:t>
        </x:is>
      </x:c>
      <x:c r="E88" t="inlineStr">
        <x:is>
          <x:t xml:space="preserve">19</x:t>
        </x:is>
      </x:c>
      <x:c r="F88" t="inlineStr">
        <x:is>
          <x:t xml:space="preserve">Covered</x:t>
        </x:is>
      </x:c>
      <x:c r="G88" t="inlineStr">
        <x:is>
          <x:t xml:space="preserve">4</x:t>
        </x:is>
      </x:c>
    </x:row>
    <x:row r="89">
      <x:c r="A89" t="inlineStr">
        <x:is>
          <x:t xml:space="preserve">p4:5.8.1</x:t>
        </x:is>
      </x:c>
      <x:c r="B89" t="inlineStr">
        <x:is>
          <x:t xml:space="preserve">TOT Sheets</x:t>
        </x:is>
      </x:c>
      <x:c r="C89" t="inlineStr">
        <x:is>
          <x:t xml:space="preserve">26.50</x:t>
        </x:is>
      </x:c>
      <x:c r="D89" t="inlineStr">
        <x:is>
          <x:t xml:space="preserve">m2</x:t>
        </x:is>
      </x:c>
      <x:c r="E89" t="inlineStr">
        <x:is>
          <x:t xml:space="preserve">19</x:t>
        </x:is>
      </x:c>
      <x:c r="F89" t="inlineStr">
        <x:is>
          <x:t xml:space="preserve">Covered</x:t>
        </x:is>
      </x:c>
      <x:c r="G89" t="inlineStr">
        <x:is>
          <x:t xml:space="preserve">4</x:t>
        </x:is>
      </x:c>
    </x:row>
    <x:row r="90">
      <x:c r="A90" t="inlineStr">
        <x:is>
          <x:t xml:space="preserve">p4:5.9</x:t>
        </x:is>
      </x:c>
      <x:c r="B90" t="inlineStr">
        <x:is>
          <x:t xml:space="preserve">TOT Sheets</x:t>
        </x:is>
      </x:c>
      <x:c r="C90" t="inlineStr">
        <x:is>
          <x:t xml:space="preserve">439.00</x:t>
        </x:is>
      </x:c>
      <x:c r="D90" t="inlineStr">
        <x:is>
          <x:t xml:space="preserve">m2</x:t>
        </x:is>
      </x:c>
      <x:c r="E90" t="inlineStr">
        <x:is>
          <x:t xml:space="preserve">19</x:t>
        </x:is>
      </x:c>
      <x:c r="F90" t="inlineStr">
        <x:is>
          <x:t xml:space="preserve">Covered</x:t>
        </x:is>
      </x:c>
      <x:c r="G90" t="inlineStr">
        <x:is>
          <x:t xml:space="preserve">4</x:t>
        </x:is>
      </x:c>
    </x:row>
    <x:row r="91">
      <x:c r="A91" t="inlineStr">
        <x:is>
          <x:t xml:space="preserve">p4:5.10</x:t>
        </x:is>
      </x:c>
      <x:c r="B91" t="inlineStr">
        <x:is>
          <x:t xml:space="preserve">Exit Steel Stair</x:t>
        </x:is>
      </x:c>
      <x:c r="C91" t="inlineStr">
        <x:is>
          <x:t xml:space="preserve">16.50</x:t>
        </x:is>
      </x:c>
      <x:c r="D91" t="inlineStr">
        <x:is>
          <x:t xml:space="preserve">Ton</x:t>
        </x:is>
      </x:c>
      <x:c r="E91" t="inlineStr">
        <x:is>
          <x:t xml:space="preserve">19</x:t>
        </x:is>
      </x:c>
      <x:c r="F91" t="inlineStr">
        <x:is>
          <x:t xml:space="preserve">Covered</x:t>
        </x:is>
      </x:c>
      <x:c r="G91" t="inlineStr">
        <x:is>
          <x:t xml:space="preserve">4</x:t>
        </x:is>
      </x:c>
    </x:row>
    <x:row r="92">
      <x:c r="A92" t="inlineStr">
        <x:is>
          <x:t xml:space="preserve">p4:5.11</x:t>
        </x:is>
      </x:c>
      <x:c r="B92" t="inlineStr">
        <x:is>
          <x:t xml:space="preserve">Removable Steel Ramp</x:t>
        </x:is>
      </x:c>
      <x:c r="C92" t="inlineStr">
        <x:is>
          <x:t xml:space="preserve">1.00</x:t>
        </x:is>
      </x:c>
      <x:c r="D92" t="inlineStr">
        <x:is>
          <x:t xml:space="preserve">Item</x:t>
        </x:is>
      </x:c>
      <x:c r="E92" t="inlineStr">
        <x:is>
          <x:t xml:space="preserve">19</x:t>
        </x:is>
      </x:c>
      <x:c r="F92" t="inlineStr">
        <x:is>
          <x:t xml:space="preserve">Covered</x:t>
        </x:is>
      </x:c>
      <x:c r="G92" t="inlineStr">
        <x:is>
          <x:t xml:space="preserve">4</x:t>
        </x:is>
      </x:c>
    </x:row>
    <x:row r="93">
      <x:c r="A93" t="inlineStr">
        <x:is>
          <x:t xml:space="preserve">p4:7.1.1.1</x:t>
        </x:is>
      </x:c>
      <x:c r="B93" t="inlineStr">
        <x:is>
          <x:t xml:space="preserve">Existing retaining walls works to include protection board</x:t>
        </x:is>
      </x:c>
      <x:c r="C93" t="inlineStr">
        <x:is>
          <x:t xml:space="preserve">97.00</x:t>
        </x:is>
      </x:c>
      <x:c r="D93" t="inlineStr">
        <x:is>
          <x:t xml:space="preserve">m2</x:t>
        </x:is>
      </x:c>
      <x:c r="E93" t="inlineStr">
        <x:is>
          <x:t xml:space="preserve">8</x:t>
        </x:is>
      </x:c>
      <x:c r="F93" t="inlineStr">
        <x:is>
          <x:t xml:space="preserve">Covered</x:t>
        </x:is>
      </x:c>
      <x:c r="G93" t="inlineStr">
        <x:is>
          <x:t xml:space="preserve">4</x:t>
        </x:is>
      </x:c>
    </x:row>
    <x:row r="94">
      <x:c r="A94" t="inlineStr">
        <x:is>
          <x:t xml:space="preserve">p4:7.1.1.2</x:t>
        </x:is>
      </x:c>
      <x:c r="B94" t="inlineStr">
        <x:is>
          <x:t xml:space="preserve">New concrete elements</x:t>
        </x:is>
      </x:c>
      <x:c r="C94" t="inlineStr">
        <x:is>
          <x:t xml:space="preserve">23.00</x:t>
        </x:is>
      </x:c>
      <x:c r="D94" t="inlineStr">
        <x:is>
          <x:t xml:space="preserve">m2</x:t>
        </x:is>
      </x:c>
      <x:c r="E94" t="inlineStr">
        <x:is>
          <x:t xml:space="preserve">8</x:t>
        </x:is>
      </x:c>
      <x:c r="F94" t="inlineStr">
        <x:is>
          <x:t xml:space="preserve">Covered</x:t>
        </x:is>
      </x:c>
      <x:c r="G94" t="inlineStr">
        <x:is>
          <x:t xml:space="preserve">4</x:t>
        </x:is>
      </x:c>
    </x:row>
    <x:row r="95">
      <x:c r="A95" t="inlineStr">
        <x:is>
          <x:t xml:space="preserve">p4:7.1.2.1</x:t>
        </x:is>
      </x:c>
      <x:c r="B95" t="inlineStr">
        <x:is>
          <x:t xml:space="preserve">New concrete elements</x:t>
        </x:is>
      </x:c>
      <x:c r="C95" t="inlineStr">
        <x:is>
          <x:t xml:space="preserve">628.00</x:t>
        </x:is>
      </x:c>
      <x:c r="D95" t="inlineStr">
        <x:is>
          <x:t xml:space="preserve">m2</x:t>
        </x:is>
      </x:c>
      <x:c r="E95" t="inlineStr">
        <x:is>
          <x:t xml:space="preserve">11</x:t>
        </x:is>
      </x:c>
      <x:c r="F95" t="inlineStr">
        <x:is>
          <x:t xml:space="preserve">Covered</x:t>
        </x:is>
      </x:c>
      <x:c r="G95" t="inlineStr">
        <x:is>
          <x:t xml:space="preserve">4</x:t>
        </x:is>
      </x:c>
    </x:row>
    <x:row r="96">
      <x:c r="A96" t="inlineStr">
        <x:is>
          <x:t xml:space="preserve">p5:7.1.2.2</x:t>
        </x:is>
      </x:c>
      <x:c r="B96" t="inlineStr">
        <x:is>
          <x:t xml:space="preserve">Façade concrete walls (behind the metallic structure of the exterior cladding)</x:t>
        </x:is>
      </x:c>
      <x:c r="C96" t="inlineStr">
        <x:is>
          <x:t xml:space="preserve">1422.00</x:t>
        </x:is>
      </x:c>
      <x:c r="D96" t="inlineStr">
        <x:is>
          <x:t xml:space="preserve">m2</x:t>
        </x:is>
      </x:c>
      <x:c r="E96" t="inlineStr">
        <x:is>
          <x:t xml:space="preserve">11</x:t>
        </x:is>
      </x:c>
      <x:c r="F96" t="inlineStr">
        <x:is>
          <x:t xml:space="preserve">Covered</x:t>
        </x:is>
      </x:c>
      <x:c r="G96" t="inlineStr">
        <x:is>
          <x:t xml:space="preserve">5</x:t>
        </x:is>
      </x:c>
    </x:row>
    <x:row r="97">
      <x:c r="A97" t="inlineStr">
        <x:is>
          <x:t xml:space="preserve">p5:7.2.1</x:t>
        </x:is>
      </x:c>
      <x:c r="B97" t="inlineStr">
        <x:is>
          <x:t xml:space="preserve">Installation for Polyurethane (Pu) Multi-Layer Roofing System</x:t>
        </x:is>
      </x:c>
      <x:c r="C97" t="inlineStr">
        <x:is>
          <x:t xml:space="preserve">485.00</x:t>
        </x:is>
      </x:c>
      <x:c r="D97" t="inlineStr">
        <x:is>
          <x:t xml:space="preserve">m2</x:t>
        </x:is>
      </x:c>
      <x:c r="E97" t="inlineStr">
        <x:is>
          <x:t xml:space="preserve">11</x:t>
        </x:is>
      </x:c>
      <x:c r="F97" t="inlineStr">
        <x:is>
          <x:t xml:space="preserve">Covered</x:t>
        </x:is>
      </x:c>
      <x:c r="G97" t="inlineStr">
        <x:is>
          <x:t xml:space="preserve">5</x:t>
        </x:is>
      </x:c>
    </x:row>
    <x:row r="98">
      <x:c r="A98" t="inlineStr">
        <x:is>
          <x:t xml:space="preserve">p5:7.2.2</x:t>
        </x:is>
      </x:c>
      <x:c r="B98" t="inlineStr">
        <x:is>
          <x:t xml:space="preserve">Polyurethane Waterproofing for Wet Areas</x:t>
        </x:is>
      </x:c>
      <x:c r="C98" t="inlineStr">
        <x:is>
          <x:t xml:space="preserve">145.00</x:t>
        </x:is>
      </x:c>
      <x:c r="D98" t="inlineStr">
        <x:is>
          <x:t xml:space="preserve">m2</x:t>
        </x:is>
      </x:c>
      <x:c r="E98" t="inlineStr">
        <x:is>
          <x:t xml:space="preserve">16</x:t>
        </x:is>
      </x:c>
      <x:c r="F98" t="inlineStr">
        <x:is>
          <x:t xml:space="preserve">Covered</x:t>
        </x:is>
      </x:c>
      <x:c r="G98" t="inlineStr">
        <x:is>
          <x:t xml:space="preserve">5</x:t>
        </x:is>
      </x:c>
    </x:row>
    <x:row r="99">
      <x:c r="A99" t="inlineStr">
        <x:is>
          <x:t xml:space="preserve">p5:8.1.1.1.3</x:t>
        </x:is>
      </x:c>
      <x:c r="B99" t="inlineStr">
        <x:is>
          <x:t xml:space="preserve">Type SD15* - Heavy Duty Folding Doors with Louvres (Fully Louvered) (2000</x:t>
        </x:is>
      </x:c>
      <x:c r="C99" t="inlineStr">
        <x:is>
          <x:t xml:space="preserve">2.00</x:t>
        </x:is>
      </x:c>
      <x:c r="D99" t="inlineStr">
        <x:is>
          <x:t xml:space="preserve">No.</x:t>
        </x:is>
      </x:c>
      <x:c r="E99" t="inlineStr">
        <x:is>
          <x:t xml:space="preserve">20</x:t>
        </x:is>
      </x:c>
      <x:c r="F99" t="inlineStr">
        <x:is>
          <x:t xml:space="preserve">Covered</x:t>
        </x:is>
      </x:c>
      <x:c r="G99" t="inlineStr">
        <x:is>
          <x:t xml:space="preserve">5</x:t>
        </x:is>
      </x:c>
    </x:row>
    <x:row r="100">
      <x:c r="A100" t="inlineStr">
        <x:is>
          <x:t xml:space="preserve">p6:8.2.1.1</x:t>
        </x:is>
      </x:c>
      <x:c r="B100" t="inlineStr">
        <x:is>
          <x:t xml:space="preserve">Type CW01 (3500 x 4650 mm)</x:t>
        </x:is>
      </x:c>
      <x:c r="C100" t="inlineStr">
        <x:is>
          <x:t xml:space="preserve">1.00</x:t>
        </x:is>
      </x:c>
      <x:c r="D100" t="inlineStr">
        <x:is>
          <x:t xml:space="preserve">No.</x:t>
        </x:is>
      </x:c>
      <x:c r="E100" t="inlineStr">
        <x:is>
          <x:t xml:space="preserve">20</x:t>
        </x:is>
      </x:c>
      <x:c r="F100" t="inlineStr">
        <x:is>
          <x:t xml:space="preserve">Covered</x:t>
        </x:is>
      </x:c>
      <x:c r="G100" t="inlineStr">
        <x:is>
          <x:t xml:space="preserve">6</x:t>
        </x:is>
      </x:c>
    </x:row>
    <x:row r="101">
      <x:c r="A101" t="inlineStr">
        <x:is>
          <x:t xml:space="preserve">p6:8.2.1.4</x:t>
        </x:is>
      </x:c>
      <x:c r="B101" t="inlineStr">
        <x:is>
          <x:t xml:space="preserve">Type CW03 (700 x 3150 mm)</x:t>
        </x:is>
      </x:c>
      <x:c r="C101" t="inlineStr">
        <x:is>
          <x:t xml:space="preserve">42.00</x:t>
        </x:is>
      </x:c>
      <x:c r="D101" t="inlineStr">
        <x:is>
          <x:t xml:space="preserve">No.</x:t>
        </x:is>
      </x:c>
      <x:c r="E101" t="inlineStr">
        <x:is>
          <x:t xml:space="preserve">20</x:t>
        </x:is>
      </x:c>
      <x:c r="F101" t="inlineStr">
        <x:is>
          <x:t xml:space="preserve">Covered</x:t>
        </x:is>
      </x:c>
      <x:c r="G101" t="inlineStr">
        <x:is>
          <x:t xml:space="preserve">6</x:t>
        </x:is>
      </x:c>
    </x:row>
    <x:row r="102">
      <x:c r="A102" t="inlineStr">
        <x:is>
          <x:t xml:space="preserve">p6:8.2.1.7</x:t>
        </x:is>
      </x:c>
      <x:c r="B102" t="inlineStr">
        <x:is>
          <x:t xml:space="preserve">Type CW04 (3400 x 500 mm)</x:t>
        </x:is>
      </x:c>
      <x:c r="C102" t="inlineStr">
        <x:is>
          <x:t xml:space="preserve">1.00</x:t>
        </x:is>
      </x:c>
      <x:c r="D102" t="inlineStr">
        <x:is>
          <x:t xml:space="preserve">No.</x:t>
        </x:is>
      </x:c>
      <x:c r="E102" t="inlineStr">
        <x:is>
          <x:t xml:space="preserve">20</x:t>
        </x:is>
      </x:c>
      <x:c r="F102" t="inlineStr">
        <x:is>
          <x:t xml:space="preserve">Covered</x:t>
        </x:is>
      </x:c>
      <x:c r="G102" t="inlineStr">
        <x:is>
          <x:t xml:space="preserve">6</x:t>
        </x:is>
      </x:c>
    </x:row>
    <x:row r="103">
      <x:c r="A103" t="inlineStr">
        <x:is>
          <x:t xml:space="preserve">p6:8.2.1.8</x:t>
        </x:is>
      </x:c>
      <x:c r="B103" t="inlineStr">
        <x:is>
          <x:t xml:space="preserve">Type CW05 (1700 x 500 mm)</x:t>
        </x:is>
      </x:c>
      <x:c r="C103" t="inlineStr">
        <x:is>
          <x:t xml:space="preserve">3.00</x:t>
        </x:is>
      </x:c>
      <x:c r="D103" t="inlineStr">
        <x:is>
          <x:t xml:space="preserve">No.</x:t>
        </x:is>
      </x:c>
      <x:c r="E103" t="inlineStr">
        <x:is>
          <x:t xml:space="preserve">20</x:t>
        </x:is>
      </x:c>
      <x:c r="F103" t="inlineStr">
        <x:is>
          <x:t xml:space="preserve">Covered</x:t>
        </x:is>
      </x:c>
      <x:c r="G103" t="inlineStr">
        <x:is>
          <x:t xml:space="preserve">6</x:t>
        </x:is>
      </x:c>
    </x:row>
    <x:row r="104">
      <x:c r="A104" t="inlineStr">
        <x:is>
          <x:t xml:space="preserve">p6:8.2.1.9</x:t>
        </x:is>
      </x:c>
      <x:c r="B104" t="inlineStr">
        <x:is>
          <x:t xml:space="preserve">Type CW05a (1000 x 500 mm)</x:t>
        </x:is>
      </x:c>
      <x:c r="C104" t="inlineStr">
        <x:is>
          <x:t xml:space="preserve">1.00</x:t>
        </x:is>
      </x:c>
      <x:c r="D104" t="inlineStr">
        <x:is>
          <x:t xml:space="preserve">No.</x:t>
        </x:is>
      </x:c>
      <x:c r="E104" t="inlineStr">
        <x:is>
          <x:t xml:space="preserve">20</x:t>
        </x:is>
      </x:c>
      <x:c r="F104" t="inlineStr">
        <x:is>
          <x:t xml:space="preserve">Covered</x:t>
        </x:is>
      </x:c>
      <x:c r="G104" t="inlineStr">
        <x:is>
          <x:t xml:space="preserve">6</x:t>
        </x:is>
      </x:c>
    </x:row>
    <x:row r="105">
      <x:c r="A105" t="inlineStr">
        <x:is>
          <x:t xml:space="preserve">p7:8.2.1.18</x:t>
        </x:is>
      </x:c>
      <x:c r="B105" t="inlineStr">
        <x:is>
          <x:t xml:space="preserve">Type CW11 (5647 x 1900 mm) including 1 door and 5 fixed rectangular panels</x:t>
        </x:is>
      </x:c>
      <x:c r="C105" t="inlineStr">
        <x:is>
          <x:t xml:space="preserve">1.00</x:t>
        </x:is>
      </x:c>
      <x:c r="D105" t="inlineStr">
        <x:is>
          <x:t xml:space="preserve">No.</x:t>
        </x:is>
      </x:c>
      <x:c r="E105" t="inlineStr">
        <x:is>
          <x:t xml:space="preserve">20</x:t>
        </x:is>
      </x:c>
      <x:c r="F105" t="inlineStr">
        <x:is>
          <x:t xml:space="preserve">Covered</x:t>
        </x:is>
      </x:c>
      <x:c r="G105" t="inlineStr">
        <x:is>
          <x:t xml:space="preserve">7</x:t>
        </x:is>
      </x:c>
    </x:row>
    <x:row r="106">
      <x:c r="A106" t="inlineStr">
        <x:is>
          <x:t xml:space="preserve">p7:8.2.1.19</x:t>
        </x:is>
      </x:c>
      <x:c r="B106" t="inlineStr">
        <x:is>
          <x:t xml:space="preserve">Type CW12 (3150 x 2000 mm) including 1 Double door and 2 fixed rectangular</x:t>
        </x:is>
      </x:c>
      <x:c r="C106" t="inlineStr">
        <x:is>
          <x:t xml:space="preserve">3.00</x:t>
        </x:is>
      </x:c>
      <x:c r="D106" t="inlineStr">
        <x:is>
          <x:t xml:space="preserve">No.</x:t>
        </x:is>
      </x:c>
      <x:c r="E106" t="inlineStr">
        <x:is>
          <x:t xml:space="preserve">20</x:t>
        </x:is>
      </x:c>
      <x:c r="F106" t="inlineStr">
        <x:is>
          <x:t xml:space="preserve">Covered</x:t>
        </x:is>
      </x:c>
      <x:c r="G106" t="inlineStr">
        <x:is>
          <x:t xml:space="preserve">7</x:t>
        </x:is>
      </x:c>
    </x:row>
    <x:row r="107">
      <x:c r="A107" t="inlineStr">
        <x:is>
          <x:t xml:space="preserve">p7:8.2.2.1</x:t>
        </x:is>
      </x:c>
      <x:c r="B107" t="inlineStr">
        <x:is>
          <x:t xml:space="preserve">Type AD01 (700 x 2000 mm)</x:t>
        </x:is>
      </x:c>
      <x:c r="C107" t="inlineStr">
        <x:is>
          <x:t xml:space="preserve">20.00</x:t>
        </x:is>
      </x:c>
      <x:c r="D107" t="inlineStr">
        <x:is>
          <x:t xml:space="preserve">No.</x:t>
        </x:is>
      </x:c>
      <x:c r="E107" t="inlineStr">
        <x:is>
          <x:t xml:space="preserve">20</x:t>
        </x:is>
      </x:c>
      <x:c r="F107" t="inlineStr">
        <x:is>
          <x:t xml:space="preserve">Covered</x:t>
        </x:is>
      </x:c>
      <x:c r="G107" t="inlineStr">
        <x:is>
          <x:t xml:space="preserve">7</x:t>
        </x:is>
      </x:c>
    </x:row>
    <x:row r="108">
      <x:c r="A108" t="inlineStr">
        <x:is>
          <x:t xml:space="preserve">p7:9.1.1</x:t>
        </x:is>
      </x:c>
      <x:c r="B108" t="inlineStr">
        <x:is>
          <x:t xml:space="preserve">New Internal Plaster Works</x:t>
        </x:is>
      </x:c>
      <x:c r="C108" t="inlineStr">
        <x:is>
          <x:t xml:space="preserve">255.00</x:t>
        </x:is>
      </x:c>
      <x:c r="D108" t="inlineStr">
        <x:is>
          <x:t xml:space="preserve">m2</x:t>
        </x:is>
      </x:c>
      <x:c r="E108" t="inlineStr">
        <x:is>
          <x:t xml:space="preserve">15</x:t>
        </x:is>
      </x:c>
      <x:c r="F108" t="inlineStr">
        <x:is>
          <x:t xml:space="preserve">Covered</x:t>
        </x:is>
      </x:c>
      <x:c r="G108" t="inlineStr">
        <x:is>
          <x:t xml:space="preserve">7</x:t>
        </x:is>
      </x:c>
    </x:row>
    <x:row r="109">
      <x:c r="A109" t="inlineStr">
        <x:is>
          <x:t xml:space="preserve">p7:9.1.2</x:t>
        </x:is>
      </x:c>
      <x:c r="B109" t="inlineStr">
        <x:is>
          <x:t xml:space="preserve">New External Plaster Works</x:t>
        </x:is>
      </x:c>
      <x:c r="C109" t="inlineStr">
        <x:is>
          <x:t xml:space="preserve">97.00</x:t>
        </x:is>
      </x:c>
      <x:c r="D109" t="inlineStr">
        <x:is>
          <x:t xml:space="preserve">m2</x:t>
        </x:is>
      </x:c>
      <x:c r="E109" t="inlineStr">
        <x:is>
          <x:t xml:space="preserve">15</x:t>
        </x:is>
      </x:c>
      <x:c r="F109" t="inlineStr">
        <x:is>
          <x:t xml:space="preserve">Covered</x:t>
        </x:is>
      </x:c>
      <x:c r="G109" t="inlineStr">
        <x:is>
          <x:t xml:space="preserve">7</x:t>
        </x:is>
      </x:c>
    </x:row>
    <x:row r="110">
      <x:c r="A110" t="inlineStr">
        <x:is>
          <x:t xml:space="preserve">p7:9.2.1</x:t>
        </x:is>
      </x:c>
      <x:c r="B110" t="inlineStr">
        <x:is>
          <x:t xml:space="preserve">New Internal Plaster Works</x:t>
        </x:is>
      </x:c>
      <x:c r="C110" t="inlineStr">
        <x:is>
          <x:t xml:space="preserve">2110.00</x:t>
        </x:is>
      </x:c>
      <x:c r="D110" t="inlineStr">
        <x:is>
          <x:t xml:space="preserve">m2</x:t>
        </x:is>
      </x:c>
      <x:c r="E110" t="inlineStr">
        <x:is>
          <x:t xml:space="preserve">15</x:t>
        </x:is>
      </x:c>
      <x:c r="F110" t="inlineStr">
        <x:is>
          <x:t xml:space="preserve">Covered</x:t>
        </x:is>
      </x:c>
      <x:c r="G110" t="inlineStr">
        <x:is>
          <x:t xml:space="preserve">7</x:t>
        </x:is>
      </x:c>
    </x:row>
    <x:row r="111">
      <x:c r="A111" t="inlineStr">
        <x:is>
          <x:t xml:space="preserve">p7:9.2.2</x:t>
        </x:is>
      </x:c>
      <x:c r="B111" t="inlineStr">
        <x:is>
          <x:t xml:space="preserve">New Internal Plaster Works</x:t>
        </x:is>
      </x:c>
      <x:c r="C111" t="inlineStr">
        <x:is>
          <x:t xml:space="preserve">367.00</x:t>
        </x:is>
      </x:c>
      <x:c r="D111" t="inlineStr">
        <x:is>
          <x:t xml:space="preserve">m2</x:t>
        </x:is>
      </x:c>
      <x:c r="E111" t="inlineStr">
        <x:is>
          <x:t xml:space="preserve">15</x:t>
        </x:is>
      </x:c>
      <x:c r="F111" t="inlineStr">
        <x:is>
          <x:t xml:space="preserve">Covered</x:t>
        </x:is>
      </x:c>
      <x:c r="G111" t="inlineStr">
        <x:is>
          <x:t xml:space="preserve">7</x:t>
        </x:is>
      </x:c>
    </x:row>
    <x:row r="112">
      <x:c r="A112" t="inlineStr">
        <x:is>
          <x:t xml:space="preserve">p7:9.3.1.1</x:t>
        </x:is>
      </x:c>
      <x:c r="B112" t="inlineStr">
        <x:is>
          <x:t xml:space="preserve">Rehabilitate internal plaster</x:t>
        </x:is>
      </x:c>
      <x:c r="C112" t="inlineStr">
        <x:is>
          <x:t xml:space="preserve">60.00</x:t>
        </x:is>
      </x:c>
      <x:c r="D112" t="inlineStr">
        <x:is>
          <x:t xml:space="preserve">m2</x:t>
        </x:is>
      </x:c>
      <x:c r="E112" t="inlineStr">
        <x:is>
          <x:t xml:space="preserve">15</x:t>
        </x:is>
      </x:c>
      <x:c r="F112" t="inlineStr">
        <x:is>
          <x:t xml:space="preserve">Covered</x:t>
        </x:is>
      </x:c>
      <x:c r="G112" t="inlineStr">
        <x:is>
          <x:t xml:space="preserve">7</x:t>
        </x:is>
      </x:c>
    </x:row>
    <x:row r="113">
      <x:c r="A113" t="inlineStr">
        <x:is>
          <x:t xml:space="preserve">p7:9.3.2.1</x:t>
        </x:is>
      </x:c>
      <x:c r="B113" t="inlineStr">
        <x:is>
          <x:t xml:space="preserve">Rehabilitate Cracks in Concrete (surfaces)</x:t>
        </x:is>
      </x:c>
      <x:c r="C113" t="inlineStr">
        <x:is>
          <x:t xml:space="preserve">9.00</x:t>
        </x:is>
      </x:c>
      <x:c r="D113" t="inlineStr">
        <x:is>
          <x:t xml:space="preserve">m2</x:t>
        </x:is>
      </x:c>
      <x:c r="E113" t="inlineStr">
        <x:is>
          <x:t xml:space="preserve">15</x:t>
        </x:is>
      </x:c>
      <x:c r="F113" t="inlineStr">
        <x:is>
          <x:t xml:space="preserve">Covered</x:t>
        </x:is>
      </x:c>
      <x:c r="G113" t="inlineStr">
        <x:is>
          <x:t xml:space="preserve">7</x:t>
        </x:is>
      </x:c>
    </x:row>
    <x:row r="114">
      <x:c r="A114" t="inlineStr">
        <x:is>
          <x:t xml:space="preserve">p7:9.4.1.1</x:t>
        </x:is>
      </x:c>
      <x:c r="B114" t="inlineStr">
        <x:is>
          <x:t xml:space="preserve">Industrial Ceramic Cladding (Type 3a)</x:t>
        </x:is>
      </x:c>
      <x:c r="C114" t="inlineStr">
        <x:is>
          <x:t xml:space="preserve">340.00</x:t>
        </x:is>
      </x:c>
      <x:c r="D114" t="inlineStr">
        <x:is>
          <x:t xml:space="preserve">m2</x:t>
        </x:is>
      </x:c>
      <x:c r="E114" t="inlineStr">
        <x:is>
          <x:t xml:space="preserve">18</x:t>
        </x:is>
      </x:c>
      <x:c r="F114" t="inlineStr">
        <x:is>
          <x:t xml:space="preserve">Covered</x:t>
        </x:is>
      </x:c>
      <x:c r="G114" t="inlineStr">
        <x:is>
          <x:t xml:space="preserve">7</x:t>
        </x:is>
      </x:c>
    </x:row>
    <x:row r="115">
      <x:c r="A115" t="inlineStr">
        <x:is>
          <x:t xml:space="preserve">p7:9.4.1.2</x:t>
        </x:is>
      </x:c>
      <x:c r="B115" t="inlineStr">
        <x:is>
          <x:t xml:space="preserve">Industrial Ceramic Cladding (Type 3b)</x:t>
        </x:is>
      </x:c>
      <x:c r="C115" t="inlineStr">
        <x:is>
          <x:t xml:space="preserve">1510.00</x:t>
        </x:is>
      </x:c>
      <x:c r="D115" t="inlineStr">
        <x:is>
          <x:t xml:space="preserve">m2</x:t>
        </x:is>
      </x:c>
      <x:c r="E115" t="inlineStr">
        <x:is>
          <x:t xml:space="preserve">18</x:t>
        </x:is>
      </x:c>
      <x:c r="F115" t="inlineStr">
        <x:is>
          <x:t xml:space="preserve">Covered</x:t>
        </x:is>
      </x:c>
      <x:c r="G115" t="inlineStr">
        <x:is>
          <x:t xml:space="preserve">7</x:t>
        </x:is>
      </x:c>
    </x:row>
    <x:row r="116">
      <x:c r="A116" t="inlineStr">
        <x:is>
          <x:t xml:space="preserve">p7:9.4.1.3</x:t>
        </x:is>
      </x:c>
      <x:c r="B116" t="inlineStr">
        <x:is>
          <x:t xml:space="preserve">Contractor shall supply and deliver in closed boxes to the building</x:t>
        </x:is>
      </x:c>
      <x:c r="C116" t="inlineStr">
        <x:is>
          <x:t xml:space="preserve">17.00</x:t>
        </x:is>
      </x:c>
      <x:c r="D116" t="inlineStr">
        <x:is>
          <x:t xml:space="preserve">m2</x:t>
        </x:is>
      </x:c>
      <x:c r="E116" t="inlineStr">
        <x:is>
          <x:t xml:space="preserve">18</x:t>
        </x:is>
      </x:c>
      <x:c r="F116" t="inlineStr">
        <x:is>
          <x:t xml:space="preserve">Covered</x:t>
        </x:is>
      </x:c>
      <x:c r="G116" t="inlineStr">
        <x:is>
          <x:t xml:space="preserve">7</x:t>
        </x:is>
      </x:c>
    </x:row>
    <x:row r="117">
      <x:c r="A117" t="inlineStr">
        <x:is>
          <x:t xml:space="preserve">p7:9.4.1.4</x:t>
        </x:is>
      </x:c>
      <x:c r="B117" t="inlineStr">
        <x:is>
          <x:t xml:space="preserve">Contractor shall supply and deliver in closed boxes to the building</x:t>
        </x:is>
      </x:c>
      <x:c r="C117" t="inlineStr">
        <x:is>
          <x:t xml:space="preserve">76.00</x:t>
        </x:is>
      </x:c>
      <x:c r="D117" t="inlineStr">
        <x:is>
          <x:t xml:space="preserve">m2</x:t>
        </x:is>
      </x:c>
      <x:c r="E117" t="inlineStr">
        <x:is>
          <x:t xml:space="preserve">18</x:t>
        </x:is>
      </x:c>
      <x:c r="F117" t="inlineStr">
        <x:is>
          <x:t xml:space="preserve">Covered</x:t>
        </x:is>
      </x:c>
      <x:c r="G117" t="inlineStr">
        <x:is>
          <x:t xml:space="preserve">7</x:t>
        </x:is>
      </x:c>
    </x:row>
    <x:row r="118">
      <x:c r="A118" t="inlineStr">
        <x:is>
          <x:t xml:space="preserve">p7:9.5.1.1</x:t>
        </x:is>
      </x:c>
      <x:c r="B118" t="inlineStr">
        <x:is>
          <x:t xml:space="preserve">FT-3 Floor tiles Type 3 Ceramics tiles for Living Quarter</x:t>
        </x:is>
      </x:c>
      <x:c r="C118" t="inlineStr">
        <x:is>
          <x:t xml:space="preserve">56.00</x:t>
        </x:is>
      </x:c>
      <x:c r="D118" t="inlineStr">
        <x:is>
          <x:t xml:space="preserve">m2</x:t>
        </x:is>
      </x:c>
      <x:c r="E118" t="inlineStr">
        <x:is>
          <x:t xml:space="preserve">18</x:t>
        </x:is>
      </x:c>
      <x:c r="F118" t="inlineStr">
        <x:is>
          <x:t xml:space="preserve">Covered</x:t>
        </x:is>
      </x:c>
      <x:c r="G118" t="inlineStr">
        <x:is>
          <x:t xml:space="preserve">7</x:t>
        </x:is>
      </x:c>
    </x:row>
    <x:row r="119">
      <x:c r="A119" t="inlineStr">
        <x:is>
          <x:t xml:space="preserve">p7:9.5.1.2</x:t>
        </x:is>
      </x:c>
      <x:c r="B119" t="inlineStr">
        <x:is>
          <x:t xml:space="preserve">FT-4 Floor tiles Type 4 Ceramic tiles for internal corridor</x:t>
        </x:is>
      </x:c>
      <x:c r="C119" t="inlineStr">
        <x:is>
          <x:t xml:space="preserve">197.00</x:t>
        </x:is>
      </x:c>
      <x:c r="D119" t="inlineStr">
        <x:is>
          <x:t xml:space="preserve">m2</x:t>
        </x:is>
      </x:c>
      <x:c r="E119" t="inlineStr">
        <x:is>
          <x:t xml:space="preserve">18</x:t>
        </x:is>
      </x:c>
      <x:c r="F119" t="inlineStr">
        <x:is>
          <x:t xml:space="preserve">Covered</x:t>
        </x:is>
      </x:c>
      <x:c r="G119" t="inlineStr">
        <x:is>
          <x:t xml:space="preserve">7</x:t>
        </x:is>
      </x:c>
    </x:row>
    <x:row r="120">
      <x:c r="A120" t="inlineStr">
        <x:is>
          <x:t xml:space="preserve">p8:9.5.1.3</x:t>
        </x:is>
      </x:c>
      <x:c r="B120" t="inlineStr">
        <x:is>
          <x:t xml:space="preserve">FT-5 Floor tiles Type 5 Ceramic tiles for administration areas</x:t>
        </x:is>
      </x:c>
      <x:c r="C120" t="inlineStr">
        <x:is>
          <x:t xml:space="preserve">52.00</x:t>
        </x:is>
      </x:c>
      <x:c r="D120" t="inlineStr">
        <x:is>
          <x:t xml:space="preserve">m2</x:t>
        </x:is>
      </x:c>
      <x:c r="E120" t="inlineStr">
        <x:is>
          <x:t xml:space="preserve">18</x:t>
        </x:is>
      </x:c>
      <x:c r="F120" t="inlineStr">
        <x:is>
          <x:t xml:space="preserve">Covered</x:t>
        </x:is>
      </x:c>
      <x:c r="G120" t="inlineStr">
        <x:is>
          <x:t xml:space="preserve">8</x:t>
        </x:is>
      </x:c>
    </x:row>
    <x:row r="121">
      <x:c r="A121" t="inlineStr">
        <x:is>
          <x:t xml:space="preserve">p8:9.5.1.4</x:t>
        </x:is>
      </x:c>
      <x:c r="B121" t="inlineStr">
        <x:is>
          <x:t xml:space="preserve">FT-6 Floor tiles Type 6 Ceramic tiles for classrooms areas</x:t>
        </x:is>
      </x:c>
      <x:c r="C121" t="inlineStr">
        <x:is>
          <x:t xml:space="preserve">108.00</x:t>
        </x:is>
      </x:c>
      <x:c r="D121" t="inlineStr">
        <x:is>
          <x:t xml:space="preserve">m2</x:t>
        </x:is>
      </x:c>
      <x:c r="E121" t="inlineStr">
        <x:is>
          <x:t xml:space="preserve">18</x:t>
        </x:is>
      </x:c>
      <x:c r="F121" t="inlineStr">
        <x:is>
          <x:t xml:space="preserve">Covered</x:t>
        </x:is>
      </x:c>
      <x:c r="G121" t="inlineStr">
        <x:is>
          <x:t xml:space="preserve">8</x:t>
        </x:is>
      </x:c>
    </x:row>
    <x:row r="122">
      <x:c r="A122" t="inlineStr">
        <x:is>
          <x:t xml:space="preserve">p8:9.5.1.5</x:t>
        </x:is>
      </x:c>
      <x:c r="B122" t="inlineStr">
        <x:is>
          <x:t xml:space="preserve">FT-7 Floor tiles Type 7 Ceramic tiles for accommodation spaces</x:t>
        </x:is>
      </x:c>
      <x:c r="C122" t="inlineStr">
        <x:is>
          <x:t xml:space="preserve">300.00</x:t>
        </x:is>
      </x:c>
      <x:c r="D122" t="inlineStr">
        <x:is>
          <x:t xml:space="preserve">m2</x:t>
        </x:is>
      </x:c>
      <x:c r="E122" t="inlineStr">
        <x:is>
          <x:t xml:space="preserve">18</x:t>
        </x:is>
      </x:c>
      <x:c r="F122" t="inlineStr">
        <x:is>
          <x:t xml:space="preserve">Covered</x:t>
        </x:is>
      </x:c>
      <x:c r="G122" t="inlineStr">
        <x:is>
          <x:t xml:space="preserve">8</x:t>
        </x:is>
      </x:c>
    </x:row>
    <x:row r="123">
      <x:c r="A123" t="inlineStr">
        <x:is>
          <x:t xml:space="preserve">p8:9.5.1.6</x:t>
        </x:is>
      </x:c>
      <x:c r="B123" t="inlineStr">
        <x:is>
          <x:t xml:space="preserve">FT-8 Floor tiles Type 8 Ceramic tiles for wet areas</x:t>
        </x:is>
      </x:c>
      <x:c r="C123" t="inlineStr">
        <x:is>
          <x:t xml:space="preserve">141.00</x:t>
        </x:is>
      </x:c>
      <x:c r="D123" t="inlineStr">
        <x:is>
          <x:t xml:space="preserve">m2</x:t>
        </x:is>
      </x:c>
      <x:c r="E123" t="inlineStr">
        <x:is>
          <x:t xml:space="preserve">18</x:t>
        </x:is>
      </x:c>
      <x:c r="F123" t="inlineStr">
        <x:is>
          <x:t xml:space="preserve">Covered</x:t>
        </x:is>
      </x:c>
      <x:c r="G123" t="inlineStr">
        <x:is>
          <x:t xml:space="preserve">8</x:t>
        </x:is>
      </x:c>
    </x:row>
    <x:row r="124">
      <x:c r="A124" t="inlineStr">
        <x:is>
          <x:t xml:space="preserve">p8:9.5.1.7</x:t>
        </x:is>
      </x:c>
      <x:c r="B124" t="inlineStr">
        <x:is>
          <x:t xml:space="preserve">EF-3b Floor tiles Type 3b Ceramic tiles for Exit Stair Landing</x:t>
        </x:is>
      </x:c>
      <x:c r="C124" t="inlineStr">
        <x:is>
          <x:t xml:space="preserve">6.00</x:t>
        </x:is>
      </x:c>
      <x:c r="D124" t="inlineStr">
        <x:is>
          <x:t xml:space="preserve">m2</x:t>
        </x:is>
      </x:c>
      <x:c r="E124" t="inlineStr">
        <x:is>
          <x:t xml:space="preserve">18</x:t>
        </x:is>
      </x:c>
      <x:c r="F124" t="inlineStr">
        <x:is>
          <x:t xml:space="preserve">Covered</x:t>
        </x:is>
      </x:c>
      <x:c r="G124" t="inlineStr">
        <x:is>
          <x:t xml:space="preserve">8</x:t>
        </x:is>
      </x:c>
    </x:row>
    <x:row r="125">
      <x:c r="A125" t="inlineStr">
        <x:is>
          <x:t xml:space="preserve">p8:9.5.1.8</x:t>
        </x:is>
      </x:c>
      <x:c r="B125" t="inlineStr">
        <x:is>
          <x:t xml:space="preserve">Contractor shall supply and deliver in closed boxes to the building</x:t>
        </x:is>
      </x:c>
      <x:c r="C125" t="inlineStr">
        <x:is>
          <x:t xml:space="preserve">2.00</x:t>
        </x:is>
      </x:c>
      <x:c r="D125" t="inlineStr">
        <x:is>
          <x:t xml:space="preserve">m2</x:t>
        </x:is>
      </x:c>
      <x:c r="E125" t="inlineStr">
        <x:is>
          <x:t xml:space="preserve">18</x:t>
        </x:is>
      </x:c>
      <x:c r="F125" t="inlineStr">
        <x:is>
          <x:t xml:space="preserve">Covered</x:t>
        </x:is>
      </x:c>
      <x:c r="G125" t="inlineStr">
        <x:is>
          <x:t xml:space="preserve">8</x:t>
        </x:is>
      </x:c>
    </x:row>
    <x:row r="126">
      <x:c r="A126" t="inlineStr">
        <x:is>
          <x:t xml:space="preserve">p8:9.5.1.9</x:t>
        </x:is>
      </x:c>
      <x:c r="B126" t="inlineStr">
        <x:is>
          <x:t xml:space="preserve">Contractor shall supply and deliver in closed boxes to the building</x:t>
        </x:is>
      </x:c>
      <x:c r="C126" t="inlineStr">
        <x:is>
          <x:t xml:space="preserve">10.00</x:t>
        </x:is>
      </x:c>
      <x:c r="D126" t="inlineStr">
        <x:is>
          <x:t xml:space="preserve">m2</x:t>
        </x:is>
      </x:c>
      <x:c r="E126" t="inlineStr">
        <x:is>
          <x:t xml:space="preserve">18</x:t>
        </x:is>
      </x:c>
      <x:c r="F126" t="inlineStr">
        <x:is>
          <x:t xml:space="preserve">Covered</x:t>
        </x:is>
      </x:c>
      <x:c r="G126" t="inlineStr">
        <x:is>
          <x:t xml:space="preserve">8</x:t>
        </x:is>
      </x:c>
    </x:row>
    <x:row r="127">
      <x:c r="A127" t="inlineStr">
        <x:is>
          <x:t xml:space="preserve">p8:9.5.1.10</x:t>
        </x:is>
      </x:c>
      <x:c r="B127" t="inlineStr">
        <x:is>
          <x:t xml:space="preserve">Contractor shall supply and deliver in closed boxes to the building</x:t>
        </x:is>
      </x:c>
      <x:c r="C127" t="inlineStr">
        <x:is>
          <x:t xml:space="preserve">3.00</x:t>
        </x:is>
      </x:c>
      <x:c r="D127" t="inlineStr">
        <x:is>
          <x:t xml:space="preserve">m2</x:t>
        </x:is>
      </x:c>
      <x:c r="E127" t="inlineStr">
        <x:is>
          <x:t xml:space="preserve">18</x:t>
        </x:is>
      </x:c>
      <x:c r="F127" t="inlineStr">
        <x:is>
          <x:t xml:space="preserve">Covered</x:t>
        </x:is>
      </x:c>
      <x:c r="G127" t="inlineStr">
        <x:is>
          <x:t xml:space="preserve">8</x:t>
        </x:is>
      </x:c>
    </x:row>
    <x:row r="128">
      <x:c r="A128" t="inlineStr">
        <x:is>
          <x:t xml:space="preserve">p8:9.5.1.11</x:t>
        </x:is>
      </x:c>
      <x:c r="B128" t="inlineStr">
        <x:is>
          <x:t xml:space="preserve">Contractor shall supply and deliver in closed boxes to the building</x:t>
        </x:is>
      </x:c>
      <x:c r="C128" t="inlineStr">
        <x:is>
          <x:t xml:space="preserve">6.00</x:t>
        </x:is>
      </x:c>
      <x:c r="D128" t="inlineStr">
        <x:is>
          <x:t xml:space="preserve">m2</x:t>
        </x:is>
      </x:c>
      <x:c r="E128" t="inlineStr">
        <x:is>
          <x:t xml:space="preserve">18</x:t>
        </x:is>
      </x:c>
      <x:c r="F128" t="inlineStr">
        <x:is>
          <x:t xml:space="preserve">Covered</x:t>
        </x:is>
      </x:c>
      <x:c r="G128" t="inlineStr">
        <x:is>
          <x:t xml:space="preserve">8</x:t>
        </x:is>
      </x:c>
    </x:row>
    <x:row r="129">
      <x:c r="A129" t="inlineStr">
        <x:is>
          <x:t xml:space="preserve">p8:9.5.1.12</x:t>
        </x:is>
      </x:c>
      <x:c r="B129" t="inlineStr">
        <x:is>
          <x:t xml:space="preserve">Contractor shall supply and deliver in closed boxes to the building</x:t>
        </x:is>
      </x:c>
      <x:c r="C129" t="inlineStr">
        <x:is>
          <x:t xml:space="preserve">15.00</x:t>
        </x:is>
      </x:c>
      <x:c r="D129" t="inlineStr">
        <x:is>
          <x:t xml:space="preserve">m2</x:t>
        </x:is>
      </x:c>
      <x:c r="E129" t="inlineStr">
        <x:is>
          <x:t xml:space="preserve">18</x:t>
        </x:is>
      </x:c>
      <x:c r="F129" t="inlineStr">
        <x:is>
          <x:t xml:space="preserve">Covered</x:t>
        </x:is>
      </x:c>
      <x:c r="G129" t="inlineStr">
        <x:is>
          <x:t xml:space="preserve">8</x:t>
        </x:is>
      </x:c>
    </x:row>
    <x:row r="130">
      <x:c r="A130" t="inlineStr">
        <x:is>
          <x:t xml:space="preserve">p8:9.5.1.13</x:t>
        </x:is>
      </x:c>
      <x:c r="B130" t="inlineStr">
        <x:is>
          <x:t xml:space="preserve">Contractor shall supply and deliver in closed boxes to the building</x:t>
        </x:is>
      </x:c>
      <x:c r="C130" t="inlineStr">
        <x:is>
          <x:t xml:space="preserve">7.00</x:t>
        </x:is>
      </x:c>
      <x:c r="D130" t="inlineStr">
        <x:is>
          <x:t xml:space="preserve">m2</x:t>
        </x:is>
      </x:c>
      <x:c r="E130" t="inlineStr">
        <x:is>
          <x:t xml:space="preserve">18</x:t>
        </x:is>
      </x:c>
      <x:c r="F130" t="inlineStr">
        <x:is>
          <x:t xml:space="preserve">Covered</x:t>
        </x:is>
      </x:c>
      <x:c r="G130" t="inlineStr">
        <x:is>
          <x:t xml:space="preserve">8</x:t>
        </x:is>
      </x:c>
    </x:row>
    <x:row r="131">
      <x:c r="A131" t="inlineStr">
        <x:is>
          <x:t xml:space="preserve">p8:9.5.1.14</x:t>
        </x:is>
      </x:c>
      <x:c r="B131" t="inlineStr">
        <x:is>
          <x:t xml:space="preserve">Contractor shall supply and deliver in closed boxes to the building</x:t>
        </x:is>
      </x:c>
      <x:c r="C131" t="inlineStr">
        <x:is>
          <x:t xml:space="preserve">1.00</x:t>
        </x:is>
      </x:c>
      <x:c r="D131" t="inlineStr">
        <x:is>
          <x:t xml:space="preserve">m2</x:t>
        </x:is>
      </x:c>
      <x:c r="E131" t="inlineStr">
        <x:is>
          <x:t xml:space="preserve">18</x:t>
        </x:is>
      </x:c>
      <x:c r="F131" t="inlineStr">
        <x:is>
          <x:t xml:space="preserve">Covered</x:t>
        </x:is>
      </x:c>
      <x:c r="G131" t="inlineStr">
        <x:is>
          <x:t xml:space="preserve">8</x:t>
        </x:is>
      </x:c>
    </x:row>
    <x:row r="132">
      <x:c r="A132" t="inlineStr">
        <x:is>
          <x:t xml:space="preserve">p8:9.5.2.1</x:t>
        </x:is>
      </x:c>
      <x:c r="B132" t="inlineStr">
        <x:is>
          <x:t xml:space="preserve">Ceramic Skirting ST-3 similar to tiles FT-3 10cm heigh</x:t>
        </x:is>
      </x:c>
      <x:c r="C132" t="inlineStr">
        <x:is>
          <x:t xml:space="preserve">48.00</x:t>
        </x:is>
      </x:c>
      <x:c r="D132" t="inlineStr">
        <x:is>
          <x:t xml:space="preserve">Lm</x:t>
        </x:is>
      </x:c>
      <x:c r="E132" t="inlineStr">
        <x:is>
          <x:t xml:space="preserve">18</x:t>
        </x:is>
      </x:c>
      <x:c r="F132" t="inlineStr">
        <x:is>
          <x:t xml:space="preserve">Covered</x:t>
        </x:is>
      </x:c>
      <x:c r="G132" t="inlineStr">
        <x:is>
          <x:t xml:space="preserve">8</x:t>
        </x:is>
      </x:c>
    </x:row>
    <x:row r="133">
      <x:c r="A133" t="inlineStr">
        <x:is>
          <x:t xml:space="preserve">p8:9.5.2.2</x:t>
        </x:is>
      </x:c>
      <x:c r="B133" t="inlineStr">
        <x:is>
          <x:t xml:space="preserve">Ceramic Skirting ST-4 similar to tiles FT-4 10cm heigh</x:t>
        </x:is>
      </x:c>
      <x:c r="C133" t="inlineStr">
        <x:is>
          <x:t xml:space="preserve">157.50</x:t>
        </x:is>
      </x:c>
      <x:c r="D133" t="inlineStr">
        <x:is>
          <x:t xml:space="preserve">Lm</x:t>
        </x:is>
      </x:c>
      <x:c r="E133" t="inlineStr">
        <x:is>
          <x:t xml:space="preserve">18</x:t>
        </x:is>
      </x:c>
      <x:c r="F133" t="inlineStr">
        <x:is>
          <x:t xml:space="preserve">Covered</x:t>
        </x:is>
      </x:c>
      <x:c r="G133" t="inlineStr">
        <x:is>
          <x:t xml:space="preserve">8</x:t>
        </x:is>
      </x:c>
    </x:row>
    <x:row r="134">
      <x:c r="A134" t="inlineStr">
        <x:is>
          <x:t xml:space="preserve">p8:9.5.2.3</x:t>
        </x:is>
      </x:c>
      <x:c r="B134" t="inlineStr">
        <x:is>
          <x:t xml:space="preserve">Ceramic Skirting ST-5 similar to tiles FT-5 10cm heigh</x:t>
        </x:is>
      </x:c>
      <x:c r="C134" t="inlineStr">
        <x:is>
          <x:t xml:space="preserve">42.00</x:t>
        </x:is>
      </x:c>
      <x:c r="D134" t="inlineStr">
        <x:is>
          <x:t xml:space="preserve">Lm</x:t>
        </x:is>
      </x:c>
      <x:c r="E134" t="inlineStr">
        <x:is>
          <x:t xml:space="preserve">18</x:t>
        </x:is>
      </x:c>
      <x:c r="F134" t="inlineStr">
        <x:is>
          <x:t xml:space="preserve">Covered</x:t>
        </x:is>
      </x:c>
      <x:c r="G134" t="inlineStr">
        <x:is>
          <x:t xml:space="preserve">8</x:t>
        </x:is>
      </x:c>
    </x:row>
    <x:row r="135">
      <x:c r="A135" t="inlineStr">
        <x:is>
          <x:t xml:space="preserve">p8:9.5.2.4</x:t>
        </x:is>
      </x:c>
      <x:c r="B135" t="inlineStr">
        <x:is>
          <x:t xml:space="preserve">Ceramic Skirting ST-6 similar to tiles FT-6 10cm heigh</x:t>
        </x:is>
      </x:c>
      <x:c r="C135" t="inlineStr">
        <x:is>
          <x:t xml:space="preserve">68.50</x:t>
        </x:is>
      </x:c>
      <x:c r="D135" t="inlineStr">
        <x:is>
          <x:t xml:space="preserve">Lm</x:t>
        </x:is>
      </x:c>
      <x:c r="E135" t="inlineStr">
        <x:is>
          <x:t xml:space="preserve">18</x:t>
        </x:is>
      </x:c>
      <x:c r="F135" t="inlineStr">
        <x:is>
          <x:t xml:space="preserve">Covered</x:t>
        </x:is>
      </x:c>
      <x:c r="G135" t="inlineStr">
        <x:is>
          <x:t xml:space="preserve">8</x:t>
        </x:is>
      </x:c>
    </x:row>
    <x:row r="136">
      <x:c r="A136" t="inlineStr">
        <x:is>
          <x:t xml:space="preserve">p8:9.5.2.5</x:t>
        </x:is>
      </x:c>
      <x:c r="B136" t="inlineStr">
        <x:is>
          <x:t xml:space="preserve">Ceramic Skirting ST-7 similar to tiles FT-7 10cm heigh</x:t>
        </x:is>
      </x:c>
      <x:c r="C136" t="inlineStr">
        <x:is>
          <x:t xml:space="preserve">212.00</x:t>
        </x:is>
      </x:c>
      <x:c r="D136" t="inlineStr">
        <x:is>
          <x:t xml:space="preserve">Lm</x:t>
        </x:is>
      </x:c>
      <x:c r="E136" t="inlineStr">
        <x:is>
          <x:t xml:space="preserve">18</x:t>
        </x:is>
      </x:c>
      <x:c r="F136" t="inlineStr">
        <x:is>
          <x:t xml:space="preserve">Covered</x:t>
        </x:is>
      </x:c>
      <x:c r="G136" t="inlineStr">
        <x:is>
          <x:t xml:space="preserve">8</x:t>
        </x:is>
      </x:c>
    </x:row>
    <x:row r="137">
      <x:c r="A137" t="inlineStr">
        <x:is>
          <x:t xml:space="preserve">p8:9.5.3.1</x:t>
        </x:is>
      </x:c>
      <x:c r="B137" t="inlineStr">
        <x:is>
          <x:t xml:space="preserve">WT-5 Walls finish Type 5 for wet areas</x:t>
        </x:is>
      </x:c>
      <x:c r="C137" t="inlineStr">
        <x:is>
          <x:t xml:space="preserve">561.00</x:t>
        </x:is>
      </x:c>
      <x:c r="D137" t="inlineStr">
        <x:is>
          <x:t xml:space="preserve">m2</x:t>
        </x:is>
      </x:c>
      <x:c r="E137" t="inlineStr">
        <x:is>
          <x:t xml:space="preserve">16,18</x:t>
        </x:is>
      </x:c>
      <x:c r="F137" t="inlineStr">
        <x:is>
          <x:t xml:space="preserve">Requires Clarification</x:t>
        </x:is>
      </x:c>
      <x:c r="G137" t="inlineStr">
        <x:is>
          <x:t xml:space="preserve">8</x:t>
        </x:is>
      </x:c>
    </x:row>
    <x:row r="138">
      <x:c r="A138" t="inlineStr">
        <x:is>
          <x:t xml:space="preserve">p8:9.5.3.2</x:t>
        </x:is>
      </x:c>
      <x:c r="B138" t="inlineStr">
        <x:is>
          <x:t xml:space="preserve">Contractor shall supply and deliver in closed boxes to the building</x:t>
        </x:is>
      </x:c>
      <x:c r="C138" t="inlineStr">
        <x:is>
          <x:t xml:space="preserve">28.00</x:t>
        </x:is>
      </x:c>
      <x:c r="D138" t="inlineStr">
        <x:is>
          <x:t xml:space="preserve">m2</x:t>
        </x:is>
      </x:c>
      <x:c r="E138" t="inlineStr">
        <x:is>
          <x:t xml:space="preserve">18</x:t>
        </x:is>
      </x:c>
      <x:c r="F138" t="inlineStr">
        <x:is>
          <x:t xml:space="preserve">Covered</x:t>
        </x:is>
      </x:c>
      <x:c r="G138" t="inlineStr">
        <x:is>
          <x:t xml:space="preserve">8</x:t>
        </x:is>
      </x:c>
    </x:row>
    <x:row r="139">
      <x:c r="A139" t="inlineStr">
        <x:is>
          <x:t xml:space="preserve">p8:9.5.4.1</x:t>
        </x:is>
      </x:c>
      <x:c r="B139" t="inlineStr">
        <x:is>
          <x:t xml:space="preserve">FT-9 Floor tiles Type 9 Terrazzo tiles for technical areas</x:t>
        </x:is>
      </x:c>
      <x:c r="C139" t="inlineStr">
        <x:is>
          <x:t xml:space="preserve">44.00</x:t>
        </x:is>
      </x:c>
      <x:c r="D139" t="inlineStr">
        <x:is>
          <x:t xml:space="preserve">m2</x:t>
        </x:is>
      </x:c>
      <x:c r="E139" t="inlineStr">
        <x:is>
          <x:t xml:space="preserve">18</x:t>
        </x:is>
      </x:c>
      <x:c r="F139" t="inlineStr">
        <x:is>
          <x:t xml:space="preserve">Covered</x:t>
        </x:is>
      </x:c>
      <x:c r="G139" t="inlineStr">
        <x:is>
          <x:t xml:space="preserve">8</x:t>
        </x:is>
      </x:c>
    </x:row>
    <x:row r="140">
      <x:c r="A140" t="inlineStr">
        <x:is>
          <x:t xml:space="preserve">p8:9.5.4.2</x:t>
        </x:is>
      </x:c>
      <x:c r="B140" t="inlineStr">
        <x:is>
          <x:t xml:space="preserve">Terrazzo Skirting ST-9 similar to tiles FT-9 10cm heigh</x:t>
        </x:is>
      </x:c>
      <x:c r="C140" t="inlineStr">
        <x:is>
          <x:t xml:space="preserve">70.00</x:t>
        </x:is>
      </x:c>
      <x:c r="D140" t="inlineStr">
        <x:is>
          <x:t xml:space="preserve">Lm</x:t>
        </x:is>
      </x:c>
      <x:c r="E140" t="inlineStr">
        <x:is>
          <x:t xml:space="preserve">18</x:t>
        </x:is>
      </x:c>
      <x:c r="F140" t="inlineStr">
        <x:is>
          <x:t xml:space="preserve">Covered</x:t>
        </x:is>
      </x:c>
      <x:c r="G140" t="inlineStr">
        <x:is>
          <x:t xml:space="preserve">8</x:t>
        </x:is>
      </x:c>
    </x:row>
    <x:row r="141">
      <x:c r="A141" t="inlineStr">
        <x:is>
          <x:t xml:space="preserve">p8:9.5.4.3</x:t>
        </x:is>
      </x:c>
      <x:c r="B141" t="inlineStr">
        <x:is>
          <x:t xml:space="preserve">Contractor shall supply and deliver in closed boxes to the building</x:t>
        </x:is>
      </x:c>
      <x:c r="C141" t="inlineStr">
        <x:is>
          <x:t xml:space="preserve">1.50</x:t>
        </x:is>
      </x:c>
      <x:c r="D141" t="inlineStr">
        <x:is>
          <x:t xml:space="preserve">m2</x:t>
        </x:is>
      </x:c>
      <x:c r="E141" t="inlineStr">
        <x:is>
          <x:t xml:space="preserve">18</x:t>
        </x:is>
      </x:c>
      <x:c r="F141" t="inlineStr">
        <x:is>
          <x:t xml:space="preserve">Covered</x:t>
        </x:is>
      </x:c>
      <x:c r="G141" t="inlineStr">
        <x:is>
          <x:t xml:space="preserve">8</x:t>
        </x:is>
      </x:c>
    </x:row>
    <x:row r="142">
      <x:c r="A142" t="inlineStr">
        <x:is>
          <x:t xml:space="preserve">p8:9.5.5.1</x:t>
        </x:is>
      </x:c>
      <x:c r="B142" t="inlineStr">
        <x:is>
          <x:t xml:space="preserve">Marble Threshold 20 cm width</x:t>
        </x:is>
      </x:c>
      <x:c r="C142" t="inlineStr">
        <x:is>
          <x:t xml:space="preserve">53.50</x:t>
        </x:is>
      </x:c>
      <x:c r="D142" t="inlineStr">
        <x:is>
          <x:t xml:space="preserve">Lm</x:t>
        </x:is>
      </x:c>
      <x:c r="E142" t="inlineStr">
        <x:is>
          <x:t xml:space="preserve">18</x:t>
        </x:is>
      </x:c>
      <x:c r="F142" t="inlineStr">
        <x:is>
          <x:t xml:space="preserve">Covered</x:t>
        </x:is>
      </x:c>
      <x:c r="G142" t="inlineStr">
        <x:is>
          <x:t xml:space="preserve">8</x:t>
        </x:is>
      </x:c>
    </x:row>
    <x:row r="143">
      <x:c r="A143" t="inlineStr">
        <x:is>
          <x:t xml:space="preserve">p8:9.5.5.2</x:t>
        </x:is>
      </x:c>
      <x:c r="B143" t="inlineStr">
        <x:is>
          <x:t xml:space="preserve">Marble Threshold 30 cm width</x:t>
        </x:is>
      </x:c>
      <x:c r="C143" t="inlineStr">
        <x:is>
          <x:t xml:space="preserve">5.50</x:t>
        </x:is>
      </x:c>
      <x:c r="D143" t="inlineStr">
        <x:is>
          <x:t xml:space="preserve">Lm</x:t>
        </x:is>
      </x:c>
      <x:c r="E143" t="inlineStr">
        <x:is>
          <x:t xml:space="preserve">18</x:t>
        </x:is>
      </x:c>
      <x:c r="F143" t="inlineStr">
        <x:is>
          <x:t xml:space="preserve">Covered</x:t>
        </x:is>
      </x:c>
      <x:c r="G143" t="inlineStr">
        <x:is>
          <x:t xml:space="preserve">8</x:t>
        </x:is>
      </x:c>
    </x:row>
    <x:row r="144">
      <x:c r="A144" t="inlineStr">
        <x:is>
          <x:t xml:space="preserve">p8:9.5.6</x:t>
        </x:is>
      </x:c>
      <x:c r="B144" t="inlineStr">
        <x:is>
          <x:t xml:space="preserve">Stainless Steel Skirting for entrance Lobby</x:t>
        </x:is>
      </x:c>
      <x:c r="C144" t="inlineStr">
        <x:is>
          <x:t xml:space="preserve">21.00</x:t>
        </x:is>
      </x:c>
      <x:c r="D144" t="inlineStr">
        <x:is>
          <x:t xml:space="preserve">Lm</x:t>
        </x:is>
      </x:c>
      <x:c r="E144" t="inlineStr">
        <x:is>
          <x:t xml:space="preserve">18</x:t>
        </x:is>
      </x:c>
      <x:c r="F144" t="inlineStr">
        <x:is>
          <x:t xml:space="preserve">Covered</x:t>
        </x:is>
      </x:c>
      <x:c r="G144" t="inlineStr">
        <x:is>
          <x:t xml:space="preserve">8</x:t>
        </x:is>
      </x:c>
    </x:row>
    <x:row r="145">
      <x:c r="A145" t="inlineStr">
        <x:is>
          <x:t xml:space="preserve">p8:9.6.1.1</x:t>
        </x:is>
      </x:c>
      <x:c r="B145" t="inlineStr">
        <x:is>
          <x:t xml:space="preserve">FC-1 tiled perforated aluminum false ceiling (60 x60 cm)-general spaces</x:t>
        </x:is>
      </x:c>
      <x:c r="C145" t="inlineStr">
        <x:is>
          <x:t xml:space="preserve">779.00</x:t>
        </x:is>
      </x:c>
      <x:c r="D145" t="inlineStr">
        <x:is>
          <x:t xml:space="preserve">m2</x:t>
        </x:is>
      </x:c>
      <x:c r="E145" t="inlineStr">
        <x:is>
          <x:t xml:space="preserve">17</x:t>
        </x:is>
      </x:c>
      <x:c r="F145" t="inlineStr">
        <x:is>
          <x:t xml:space="preserve">Covered</x:t>
        </x:is>
      </x:c>
      <x:c r="G145" t="inlineStr">
        <x:is>
          <x:t xml:space="preserve">8</x:t>
        </x:is>
      </x:c>
    </x:row>
    <x:row r="146">
      <x:c r="A146" t="inlineStr">
        <x:is>
          <x:t xml:space="preserve">p8:9.6.1.2</x:t>
        </x:is>
      </x:c>
      <x:c r="B146" t="inlineStr">
        <x:is>
          <x:t xml:space="preserve">FC-2 tiled perforated aluminum false ceiling (30 x30 cm)- for wet areas</x:t>
        </x:is>
      </x:c>
      <x:c r="C146" t="inlineStr">
        <x:is>
          <x:t xml:space="preserve">108.00</x:t>
        </x:is>
      </x:c>
      <x:c r="D146" t="inlineStr">
        <x:is>
          <x:t xml:space="preserve">m2</x:t>
        </x:is>
      </x:c>
      <x:c r="E146" t="inlineStr">
        <x:is>
          <x:t xml:space="preserve">17</x:t>
        </x:is>
      </x:c>
      <x:c r="F146" t="inlineStr">
        <x:is>
          <x:t xml:space="preserve">Covered</x:t>
        </x:is>
      </x:c>
      <x:c r="G146" t="inlineStr">
        <x:is>
          <x:t xml:space="preserve">8</x:t>
        </x:is>
      </x:c>
    </x:row>
    <x:row r="147">
      <x:c r="A147" t="inlineStr">
        <x:is>
          <x:t xml:space="preserve">p8:9.6.1.3</x:t>
        </x:is>
      </x:c>
      <x:c r="B147" t="inlineStr">
        <x:is>
          <x:t xml:space="preserve">Aluminum Bulkhead for False ceiling</x:t>
        </x:is>
      </x:c>
      <x:c r="C147" t="inlineStr">
        <x:is>
          <x:t xml:space="preserve">171.00</x:t>
        </x:is>
      </x:c>
      <x:c r="D147" t="inlineStr">
        <x:is>
          <x:t xml:space="preserve">Lm</x:t>
        </x:is>
      </x:c>
      <x:c r="E147" t="inlineStr">
        <x:is>
          <x:t xml:space="preserve">17</x:t>
        </x:is>
      </x:c>
      <x:c r="F147" t="inlineStr">
        <x:is>
          <x:t xml:space="preserve">Covered</x:t>
        </x:is>
      </x:c>
      <x:c r="G147" t="inlineStr">
        <x:is>
          <x:t xml:space="preserve">8</x:t>
        </x:is>
      </x:c>
    </x:row>
    <x:row r="148">
      <x:c r="A148" t="inlineStr">
        <x:is>
          <x:t xml:space="preserve">p8:9.7.1.1.1</x:t>
        </x:is>
      </x:c>
      <x:c r="B148" t="inlineStr">
        <x:is>
          <x:t xml:space="preserve">Unleaded oil paint on plastered surface Type 2</x:t>
        </x:is>
      </x:c>
      <x:c r="C148" t="inlineStr">
        <x:is>
          <x:t xml:space="preserve">143.00</x:t>
        </x:is>
      </x:c>
      <x:c r="D148" t="inlineStr">
        <x:is>
          <x:t xml:space="preserve">m2</x:t>
        </x:is>
      </x:c>
      <x:c r="E148" t="inlineStr">
        <x:is>
          <x:t xml:space="preserve">21</x:t>
        </x:is>
      </x:c>
      <x:c r="F148" t="inlineStr">
        <x:is>
          <x:t xml:space="preserve">Covered</x:t>
        </x:is>
      </x:c>
      <x:c r="G148" t="inlineStr">
        <x:is>
          <x:t xml:space="preserve">8</x:t>
        </x:is>
      </x:c>
    </x:row>
    <x:row r="149">
      <x:c r="A149" t="inlineStr">
        <x:is>
          <x:t xml:space="preserve">p8:9.7.1.1.2</x:t>
        </x:is>
      </x:c>
      <x:c r="B149" t="inlineStr">
        <x:is>
          <x:t xml:space="preserve">Unleaded oil paint on fairfaced concrete elements Type 4</x:t>
        </x:is>
      </x:c>
      <x:c r="C149" t="inlineStr">
        <x:is>
          <x:t xml:space="preserve">242.00</x:t>
        </x:is>
      </x:c>
      <x:c r="D149" t="inlineStr">
        <x:is>
          <x:t xml:space="preserve">m2</x:t>
        </x:is>
      </x:c>
      <x:c r="E149" t="inlineStr">
        <x:is>
          <x:t xml:space="preserve">21</x:t>
        </x:is>
      </x:c>
      <x:c r="F149" t="inlineStr">
        <x:is>
          <x:t xml:space="preserve">Covered</x:t>
        </x:is>
      </x:c>
      <x:c r="G149" t="inlineStr">
        <x:is>
          <x:t xml:space="preserve">8</x:t>
        </x:is>
      </x:c>
    </x:row>
    <x:row r="150">
      <x:c r="A150" t="inlineStr">
        <x:is>
          <x:t xml:space="preserve">p8:9.7.1.2.1</x:t>
        </x:is>
      </x:c>
      <x:c r="B150" t="inlineStr">
        <x:is>
          <x:t xml:space="preserve">Unleaded acrylic paint on plastered surface Type 1</x:t>
        </x:is>
      </x:c>
      <x:c r="C150" t="inlineStr">
        <x:is>
          <x:t xml:space="preserve">1383.00</x:t>
        </x:is>
      </x:c>
      <x:c r="D150" t="inlineStr">
        <x:is>
          <x:t xml:space="preserve">m2</x:t>
        </x:is>
      </x:c>
      <x:c r="E150" t="inlineStr">
        <x:is>
          <x:t xml:space="preserve">21</x:t>
        </x:is>
      </x:c>
      <x:c r="F150" t="inlineStr">
        <x:is>
          <x:t xml:space="preserve">Covered</x:t>
        </x:is>
      </x:c>
      <x:c r="G150" t="inlineStr">
        <x:is>
          <x:t xml:space="preserve">8</x:t>
        </x:is>
      </x:c>
    </x:row>
    <x:row r="151">
      <x:c r="A151" t="inlineStr">
        <x:is>
          <x:t xml:space="preserve">p8:9.7.1.2.2</x:t>
        </x:is>
      </x:c>
      <x:c r="B151" t="inlineStr">
        <x:is>
          <x:t xml:space="preserve">Unleaded oil paint on plastered surface Type 2</x:t>
        </x:is>
      </x:c>
      <x:c r="C151" t="inlineStr">
        <x:is>
          <x:t xml:space="preserve">619.00</x:t>
        </x:is>
      </x:c>
      <x:c r="D151" t="inlineStr">
        <x:is>
          <x:t xml:space="preserve">m2</x:t>
        </x:is>
      </x:c>
      <x:c r="E151" t="inlineStr">
        <x:is>
          <x:t xml:space="preserve">21</x:t>
        </x:is>
      </x:c>
      <x:c r="F151" t="inlineStr">
        <x:is>
          <x:t xml:space="preserve">Covered</x:t>
        </x:is>
      </x:c>
      <x:c r="G151" t="inlineStr">
        <x:is>
          <x:t xml:space="preserve">8</x:t>
        </x:is>
      </x:c>
    </x:row>
    <x:row r="152">
      <x:c r="A152" t="inlineStr">
        <x:is>
          <x:t xml:space="preserve">p8:9.7.1.2.3</x:t>
        </x:is>
      </x:c>
      <x:c r="B152" t="inlineStr">
        <x:is>
          <x:t xml:space="preserve">Unleaded acrylic paint on fairfaced concrete elements Type 3</x:t>
        </x:is>
      </x:c>
      <x:c r="C152" t="inlineStr">
        <x:is>
          <x:t xml:space="preserve">880.00</x:t>
        </x:is>
      </x:c>
      <x:c r="D152" t="inlineStr">
        <x:is>
          <x:t xml:space="preserve">m2</x:t>
        </x:is>
      </x:c>
      <x:c r="E152" t="inlineStr">
        <x:is>
          <x:t xml:space="preserve">21</x:t>
        </x:is>
      </x:c>
      <x:c r="F152" t="inlineStr">
        <x:is>
          <x:t xml:space="preserve">Covered</x:t>
        </x:is>
      </x:c>
      <x:c r="G152" t="inlineStr">
        <x:is>
          <x:t xml:space="preserve">8</x:t>
        </x:is>
      </x:c>
    </x:row>
    <x:row r="153">
      <x:c r="A153" t="inlineStr">
        <x:is>
          <x:t xml:space="preserve">p8:9.7.1.2.4</x:t>
        </x:is>
      </x:c>
      <x:c r="B153" t="inlineStr">
        <x:is>
          <x:t xml:space="preserve">Unleaded oil paint on fairfaced concrete elements Type 4</x:t>
        </x:is>
      </x:c>
      <x:c r="C153" t="inlineStr">
        <x:is>
          <x:t xml:space="preserve">1285.00</x:t>
        </x:is>
      </x:c>
      <x:c r="D153" t="inlineStr">
        <x:is>
          <x:t xml:space="preserve">m2</x:t>
        </x:is>
      </x:c>
      <x:c r="E153" t="inlineStr">
        <x:is>
          <x:t xml:space="preserve">21</x:t>
        </x:is>
      </x:c>
      <x:c r="F153" t="inlineStr">
        <x:is>
          <x:t xml:space="preserve">Covered</x:t>
        </x:is>
      </x:c>
      <x:c r="G153" t="inlineStr">
        <x:is>
          <x:t xml:space="preserve">8</x:t>
        </x:is>
      </x:c>
    </x:row>
    <x:row r="154">
      <x:c r="A154" t="inlineStr">
        <x:is>
          <x:t xml:space="preserve">p8:9.7.2.1</x:t>
        </x:is>
      </x:c>
      <x:c r="B154" t="inlineStr">
        <x:is>
          <x:t xml:space="preserve">EF4 Exterior walls generally, including soffits special paint</x:t>
        </x:is>
      </x:c>
      <x:c r="C154" t="inlineStr">
        <x:is>
          <x:t xml:space="preserve">49.50</x:t>
        </x:is>
      </x:c>
      <x:c r="D154" t="inlineStr">
        <x:is>
          <x:t xml:space="preserve">m2</x:t>
        </x:is>
      </x:c>
      <x:c r="E154" t="inlineStr">
        <x:is>
          <x:t xml:space="preserve">21,29</x:t>
        </x:is>
      </x:c>
      <x:c r="F154" t="inlineStr">
        <x:is>
          <x:t xml:space="preserve">Requires Clarification</x:t>
        </x:is>
      </x:c>
      <x:c r="G154" t="inlineStr">
        <x:is>
          <x:t xml:space="preserve">8</x:t>
        </x:is>
      </x:c>
    </x:row>
    <x:row r="155">
      <x:c r="A155" t="inlineStr">
        <x:is>
          <x:t xml:space="preserve">p8:9.7.2.2</x:t>
        </x:is>
      </x:c>
      <x:c r="B155" t="inlineStr">
        <x:is>
          <x:t xml:space="preserve">Damp proof Colorless Paint Unleaded on Facades - Service Block Building</x:t>
        </x:is>
      </x:c>
      <x:c r="C155" t="inlineStr">
        <x:is>
          <x:t xml:space="preserve">49.50</x:t>
        </x:is>
      </x:c>
      <x:c r="D155" t="inlineStr">
        <x:is>
          <x:t xml:space="preserve">m2</x:t>
        </x:is>
      </x:c>
      <x:c r="E155" t="inlineStr">
        <x:is>
          <x:t xml:space="preserve">21,29</x:t>
        </x:is>
      </x:c>
      <x:c r="F155" t="inlineStr">
        <x:is>
          <x:t xml:space="preserve">Requires Clarification</x:t>
        </x:is>
      </x:c>
      <x:c r="G155" t="inlineStr">
        <x:is>
          <x:t xml:space="preserve">8</x:t>
        </x:is>
      </x:c>
    </x:row>
    <x:row r="156">
      <x:c r="A156" t="inlineStr">
        <x:is>
          <x:t xml:space="preserve">p9:9.7.3.1.1</x:t>
        </x:is>
      </x:c>
      <x:c r="B156" t="inlineStr">
        <x:is>
          <x:t xml:space="preserve">FT-2 Epoxy for workshop and technical areas</x:t>
        </x:is>
      </x:c>
      <x:c r="C156" t="inlineStr">
        <x:is>
          <x:t xml:space="preserve">120.00</x:t>
        </x:is>
      </x:c>
      <x:c r="D156" t="inlineStr">
        <x:is>
          <x:t xml:space="preserve">m2</x:t>
        </x:is>
      </x:c>
      <x:c r="E156" t="inlineStr">
        <x:is>
          <x:t xml:space="preserve">18</x:t>
        </x:is>
      </x:c>
      <x:c r="F156" t="inlineStr">
        <x:is>
          <x:t xml:space="preserve">Covered</x:t>
        </x:is>
      </x:c>
      <x:c r="G156" t="inlineStr">
        <x:is>
          <x:t xml:space="preserve">9</x:t>
        </x:is>
      </x:c>
    </x:row>
    <x:row r="157">
      <x:c r="A157" t="inlineStr">
        <x:is>
          <x:t xml:space="preserve">p9:9.7.3.2.1</x:t>
        </x:is>
      </x:c>
      <x:c r="B157" t="inlineStr">
        <x:is>
          <x:t xml:space="preserve">Exterior grade epoxy coating to outdoor concrete pavement and stairs EF-2</x:t>
        </x:is>
      </x:c>
      <x:c r="C157" t="inlineStr">
        <x:is>
          <x:t xml:space="preserve">336.00</x:t>
        </x:is>
      </x:c>
      <x:c r="D157" t="inlineStr">
        <x:is>
          <x:t xml:space="preserve">m2</x:t>
        </x:is>
      </x:c>
      <x:c r="E157" t="inlineStr">
        <x:is>
          <x:t xml:space="preserve">18</x:t>
        </x:is>
      </x:c>
      <x:c r="F157" t="inlineStr">
        <x:is>
          <x:t xml:space="preserve">Covered</x:t>
        </x:is>
      </x:c>
      <x:c r="G157" t="inlineStr">
        <x:is>
          <x:t xml:space="preserve">9</x:t>
        </x:is>
      </x:c>
    </x:row>
    <x:row r="158">
      <x:c r="A158" t="inlineStr">
        <x:is>
          <x:t xml:space="preserve">p9:9.7.3.2.2</x:t>
        </x:is>
      </x:c>
      <x:c r="B158" t="inlineStr">
        <x:is>
          <x:t xml:space="preserve">Exterior Colorless Epoxy Coating for Fair-Faced Concrete Ceiling EF-2*</x:t>
        </x:is>
      </x:c>
      <x:c r="C158" t="inlineStr">
        <x:is>
          <x:t xml:space="preserve">63.00</x:t>
        </x:is>
      </x:c>
      <x:c r="D158" t="inlineStr">
        <x:is>
          <x:t xml:space="preserve">m2</x:t>
        </x:is>
      </x:c>
      <x:c r="E158" t="inlineStr">
        <x:is>
          <x:t xml:space="preserve">18</x:t>
        </x:is>
      </x:c>
      <x:c r="F158" t="inlineStr">
        <x:is>
          <x:t xml:space="preserve">Covered</x:t>
        </x:is>
      </x:c>
      <x:c r="G158" t="inlineStr">
        <x:is>
          <x:t xml:space="preserve">9</x:t>
        </x:is>
      </x:c>
    </x:row>
    <x:row r="159">
      <x:c r="A159" t="inlineStr">
        <x:is>
          <x:t xml:space="preserve">p9:9.7.3.2.3</x:t>
        </x:is>
      </x:c>
      <x:c r="B159" t="inlineStr">
        <x:is>
          <x:t xml:space="preserve">FT-1 Epoxy for stairs</x:t>
        </x:is>
      </x:c>
      <x:c r="C159" t="inlineStr">
        <x:is>
          <x:t xml:space="preserve">119.00</x:t>
        </x:is>
      </x:c>
      <x:c r="D159" t="inlineStr">
        <x:is>
          <x:t xml:space="preserve">m2</x:t>
        </x:is>
      </x:c>
      <x:c r="E159" t="inlineStr">
        <x:is>
          <x:t xml:space="preserve">18</x:t>
        </x:is>
      </x:c>
      <x:c r="F159" t="inlineStr">
        <x:is>
          <x:t xml:space="preserve">Covered</x:t>
        </x:is>
      </x:c>
      <x:c r="G159" t="inlineStr">
        <x:is>
          <x:t xml:space="preserve">9</x:t>
        </x:is>
      </x:c>
    </x:row>
    <x:row r="160">
      <x:c r="A160" t="inlineStr">
        <x:is>
          <x:t xml:space="preserve">p9:9.7.3.2.4</x:t>
        </x:is>
      </x:c>
      <x:c r="B160" t="inlineStr">
        <x:is>
          <x:t xml:space="preserve">FT-2 Epoxy for workshop and technical areas</x:t>
        </x:is>
      </x:c>
      <x:c r="C160" t="inlineStr">
        <x:is>
          <x:t xml:space="preserve">555.00</x:t>
        </x:is>
      </x:c>
      <x:c r="D160" t="inlineStr">
        <x:is>
          <x:t xml:space="preserve">m2</x:t>
        </x:is>
      </x:c>
      <x:c r="E160" t="inlineStr">
        <x:is>
          <x:t xml:space="preserve">18</x:t>
        </x:is>
      </x:c>
      <x:c r="F160" t="inlineStr">
        <x:is>
          <x:t xml:space="preserve">Covered</x:t>
        </x:is>
      </x:c>
      <x:c r="G160" t="inlineStr">
        <x:is>
          <x:t xml:space="preserve">9</x:t>
        </x:is>
      </x:c>
    </x:row>
    <x:row r="161">
      <x:c r="A161" t="inlineStr">
        <x:is>
          <x:t xml:space="preserve">p9:9.7.3.2.5</x:t>
        </x:is>
      </x:c>
      <x:c r="B161" t="inlineStr">
        <x:is>
          <x:t xml:space="preserve">FT-2 Epoxy for Lobby</x:t>
        </x:is>
      </x:c>
      <x:c r="C161" t="inlineStr">
        <x:is>
          <x:t xml:space="preserve">36.00</x:t>
        </x:is>
      </x:c>
      <x:c r="D161" t="inlineStr">
        <x:is>
          <x:t xml:space="preserve">m2</x:t>
        </x:is>
      </x:c>
      <x:c r="E161" t="inlineStr">
        <x:is>
          <x:t xml:space="preserve">18</x:t>
        </x:is>
      </x:c>
      <x:c r="F161" t="inlineStr">
        <x:is>
          <x:t xml:space="preserve">Covered</x:t>
        </x:is>
      </x:c>
      <x:c r="G161" t="inlineStr">
        <x:is>
          <x:t xml:space="preserve">9</x:t>
        </x:is>
      </x:c>
    </x:row>
    <x:row r="162">
      <x:c r="A162" t="inlineStr">
        <x:is>
          <x:t xml:space="preserve">p9:9.8</x:t>
        </x:is>
      </x:c>
      <x:c r="B162" t="inlineStr">
        <x:is>
          <x:t xml:space="preserve">Roof Brick Tiles</x:t>
        </x:is>
      </x:c>
      <x:c r="C162" t="inlineStr">
        <x:is>
          <x:t xml:space="preserve">47.00</x:t>
        </x:is>
      </x:c>
      <x:c r="D162" t="inlineStr">
        <x:is>
          <x:t xml:space="preserve">m2</x:t>
        </x:is>
      </x:c>
      <x:c r="E162" t="inlineStr">
        <x:is>
          <x:t xml:space="preserve">18</x:t>
        </x:is>
      </x:c>
      <x:c r="F162" t="inlineStr">
        <x:is>
          <x:t xml:space="preserve">Covered</x:t>
        </x:is>
      </x:c>
      <x:c r="G162" t="inlineStr">
        <x:is>
          <x:t xml:space="preserve">9</x:t>
        </x:is>
      </x:c>
    </x:row>
    <x:row r="163">
      <x:c r="A163" t="inlineStr">
        <x:is>
          <x:t xml:space="preserve">p9:10.1.1</x:t>
        </x:is>
      </x:c>
      <x:c r="B163" t="inlineStr">
        <x:is>
          <x:t xml:space="preserve">Hanged WC</x:t>
        </x:is>
      </x:c>
      <x:c r="C163" t="inlineStr">
        <x:is>
          <x:t xml:space="preserve">12.00</x:t>
        </x:is>
      </x:c>
      <x:c r="D163" t="inlineStr">
        <x:is>
          <x:t xml:space="preserve">No.</x:t>
        </x:is>
      </x:c>
      <x:c r="E163" t="inlineStr">
        <x:is>
          <x:t xml:space="preserve">23</x:t>
        </x:is>
      </x:c>
      <x:c r="F163" t="inlineStr">
        <x:is>
          <x:t xml:space="preserve">Covered</x:t>
        </x:is>
      </x:c>
      <x:c r="G163" t="inlineStr">
        <x:is>
          <x:t xml:space="preserve">9</x:t>
        </x:is>
      </x:c>
    </x:row>
    <x:row r="164">
      <x:c r="A164" t="inlineStr">
        <x:is>
          <x:t xml:space="preserve">p9:10.1.2</x:t>
        </x:is>
      </x:c>
      <x:c r="B164" t="inlineStr">
        <x:is>
          <x:t xml:space="preserve">PWSN WC (Floor mounted)</x:t>
        </x:is>
      </x:c>
      <x:c r="C164" t="inlineStr">
        <x:is>
          <x:t xml:space="preserve">3.00</x:t>
        </x:is>
      </x:c>
      <x:c r="D164" t="inlineStr">
        <x:is>
          <x:t xml:space="preserve">No.</x:t>
        </x:is>
      </x:c>
      <x:c r="E164" t="inlineStr">
        <x:is>
          <x:t xml:space="preserve">23</x:t>
        </x:is>
      </x:c>
      <x:c r="F164" t="inlineStr">
        <x:is>
          <x:t xml:space="preserve">Covered</x:t>
        </x:is>
      </x:c>
      <x:c r="G164" t="inlineStr">
        <x:is>
          <x:t xml:space="preserve">9</x:t>
        </x:is>
      </x:c>
    </x:row>
    <x:row r="165">
      <x:c r="A165" t="inlineStr">
        <x:is>
          <x:t xml:space="preserve">p9:10.1.3</x:t>
        </x:is>
      </x:c>
      <x:c r="B165" t="inlineStr">
        <x:is>
          <x:t xml:space="preserve">Semi Pedestal lavatory</x:t>
        </x:is>
      </x:c>
      <x:c r="C165" t="inlineStr">
        <x:is>
          <x:t xml:space="preserve">11.00</x:t>
        </x:is>
      </x:c>
      <x:c r="D165" t="inlineStr">
        <x:is>
          <x:t xml:space="preserve">No.</x:t>
        </x:is>
      </x:c>
      <x:c r="E165" t="inlineStr">
        <x:is>
          <x:t xml:space="preserve">23</x:t>
        </x:is>
      </x:c>
      <x:c r="F165" t="inlineStr">
        <x:is>
          <x:t xml:space="preserve">Covered</x:t>
        </x:is>
      </x:c>
      <x:c r="G165" t="inlineStr">
        <x:is>
          <x:t xml:space="preserve">9</x:t>
        </x:is>
      </x:c>
    </x:row>
    <x:row r="166">
      <x:c r="A166" t="inlineStr">
        <x:is>
          <x:t xml:space="preserve">p9:10.1.4</x:t>
        </x:is>
      </x:c>
      <x:c r="B166" t="inlineStr">
        <x:is>
          <x:t xml:space="preserve">PWSN Lavatory</x:t>
        </x:is>
      </x:c>
      <x:c r="C166" t="inlineStr">
        <x:is>
          <x:t xml:space="preserve">3.00</x:t>
        </x:is>
      </x:c>
      <x:c r="D166" t="inlineStr">
        <x:is>
          <x:t xml:space="preserve">No.</x:t>
        </x:is>
      </x:c>
      <x:c r="E166" t="inlineStr">
        <x:is>
          <x:t xml:space="preserve">23</x:t>
        </x:is>
      </x:c>
      <x:c r="F166" t="inlineStr">
        <x:is>
          <x:t xml:space="preserve">Covered</x:t>
        </x:is>
      </x:c>
      <x:c r="G166" t="inlineStr">
        <x:is>
          <x:t xml:space="preserve">9</x:t>
        </x:is>
      </x:c>
    </x:row>
    <x:row r="167">
      <x:c r="A167" t="inlineStr">
        <x:is>
          <x:t xml:space="preserve">p9:10.1.5</x:t>
        </x:is>
      </x:c>
      <x:c r="B167" t="inlineStr">
        <x:is>
          <x:t xml:space="preserve">Shower</x:t>
        </x:is>
      </x:c>
      <x:c r="C167" t="inlineStr">
        <x:is>
          <x:t xml:space="preserve">8.00</x:t>
        </x:is>
      </x:c>
      <x:c r="D167" t="inlineStr">
        <x:is>
          <x:t xml:space="preserve">No.</x:t>
        </x:is>
      </x:c>
      <x:c r="E167" t="inlineStr">
        <x:is>
          <x:t xml:space="preserve">23</x:t>
        </x:is>
      </x:c>
      <x:c r="F167" t="inlineStr">
        <x:is>
          <x:t xml:space="preserve">Covered</x:t>
        </x:is>
      </x:c>
      <x:c r="G167" t="inlineStr">
        <x:is>
          <x:t xml:space="preserve">9</x:t>
        </x:is>
      </x:c>
    </x:row>
    <x:row r="168">
      <x:c r="A168" t="inlineStr">
        <x:is>
          <x:t xml:space="preserve">p9:10.1.6</x:t>
        </x:is>
      </x:c>
      <x:c r="B168" t="inlineStr">
        <x:is>
          <x:t xml:space="preserve">PWSN shower including</x:t>
        </x:is>
      </x:c>
      <x:c r="C168" t="inlineStr">
        <x:is>
          <x:t xml:space="preserve">2.00</x:t>
        </x:is>
      </x:c>
      <x:c r="D168" t="inlineStr">
        <x:is>
          <x:t xml:space="preserve">No.</x:t>
        </x:is>
      </x:c>
      <x:c r="E168" t="inlineStr">
        <x:is>
          <x:t xml:space="preserve">23</x:t>
        </x:is>
      </x:c>
      <x:c r="F168" t="inlineStr">
        <x:is>
          <x:t xml:space="preserve">Covered</x:t>
        </x:is>
      </x:c>
      <x:c r="G168" t="inlineStr">
        <x:is>
          <x:t xml:space="preserve">9</x:t>
        </x:is>
      </x:c>
    </x:row>
    <x:row r="169">
      <x:c r="A169" t="inlineStr">
        <x:is>
          <x:t xml:space="preserve">p9:10.2.1</x:t>
        </x:is>
      </x:c>
      <x:c r="B169" t="inlineStr">
        <x:is>
          <x:t xml:space="preserve">Paper Roller Holder</x:t>
        </x:is>
      </x:c>
      <x:c r="C169" t="inlineStr">
        <x:is>
          <x:t xml:space="preserve">15.00</x:t>
        </x:is>
      </x:c>
      <x:c r="D169" t="inlineStr">
        <x:is>
          <x:t xml:space="preserve">No.</x:t>
        </x:is>
      </x:c>
      <x:c r="E169" t="inlineStr">
        <x:is>
          <x:t xml:space="preserve">23</x:t>
        </x:is>
      </x:c>
      <x:c r="F169" t="inlineStr">
        <x:is>
          <x:t xml:space="preserve">Covered</x:t>
        </x:is>
      </x:c>
      <x:c r="G169" t="inlineStr">
        <x:is>
          <x:t xml:space="preserve">9</x:t>
        </x:is>
      </x:c>
    </x:row>
    <x:row r="170">
      <x:c r="A170" t="inlineStr">
        <x:is>
          <x:t xml:space="preserve">p9:10.2.2</x:t>
        </x:is>
      </x:c>
      <x:c r="B170" t="inlineStr">
        <x:is>
          <x:t xml:space="preserve">Soap Dispenser</x:t>
        </x:is>
      </x:c>
      <x:c r="C170" t="inlineStr">
        <x:is>
          <x:t xml:space="preserve">9.00</x:t>
        </x:is>
      </x:c>
      <x:c r="D170" t="inlineStr">
        <x:is>
          <x:t xml:space="preserve">No.</x:t>
        </x:is>
      </x:c>
      <x:c r="E170" t="inlineStr">
        <x:is>
          <x:t xml:space="preserve">23</x:t>
        </x:is>
      </x:c>
      <x:c r="F170" t="inlineStr">
        <x:is>
          <x:t xml:space="preserve">Covered</x:t>
        </x:is>
      </x:c>
      <x:c r="G170" t="inlineStr">
        <x:is>
          <x:t xml:space="preserve">9</x:t>
        </x:is>
      </x:c>
    </x:row>
    <x:row r="171">
      <x:c r="A171" t="inlineStr">
        <x:is>
          <x:t xml:space="preserve">p9:10.2.3</x:t>
        </x:is>
      </x:c>
      <x:c r="B171" t="inlineStr">
        <x:is>
          <x:t xml:space="preserve">Paper Holder Box</x:t>
        </x:is>
      </x:c>
      <x:c r="C171" t="inlineStr">
        <x:is>
          <x:t xml:space="preserve">8.00</x:t>
        </x:is>
      </x:c>
      <x:c r="D171" t="inlineStr">
        <x:is>
          <x:t xml:space="preserve">No.</x:t>
        </x:is>
      </x:c>
      <x:c r="E171" t="inlineStr">
        <x:is>
          <x:t xml:space="preserve">23</x:t>
        </x:is>
      </x:c>
      <x:c r="F171" t="inlineStr">
        <x:is>
          <x:t xml:space="preserve">Covered</x:t>
        </x:is>
      </x:c>
      <x:c r="G171" t="inlineStr">
        <x:is>
          <x:t xml:space="preserve">9</x:t>
        </x:is>
      </x:c>
    </x:row>
    <x:row r="172">
      <x:c r="A172" t="inlineStr">
        <x:is>
          <x:t xml:space="preserve">p9:10.3.1</x:t>
        </x:is>
      </x:c>
      <x:c r="B172" t="inlineStr">
        <x:is>
          <x:t xml:space="preserve">Supply and install 80cm bars</x:t>
        </x:is>
      </x:c>
      <x:c r="C172" t="inlineStr">
        <x:is>
          <x:t xml:space="preserve">3.00</x:t>
        </x:is>
      </x:c>
      <x:c r="D172" t="inlineStr">
        <x:is>
          <x:t xml:space="preserve">Item</x:t>
        </x:is>
      </x:c>
      <x:c r="E172" t="inlineStr">
        <x:is>
          <x:t xml:space="preserve">23</x:t>
        </x:is>
      </x:c>
      <x:c r="F172" t="inlineStr">
        <x:is>
          <x:t xml:space="preserve">Covered</x:t>
        </x:is>
      </x:c>
      <x:c r="G172" t="inlineStr">
        <x:is>
          <x:t xml:space="preserve">9</x:t>
        </x:is>
      </x:c>
    </x:row>
    <x:row r="173">
      <x:c r="A173" t="inlineStr">
        <x:is>
          <x:t xml:space="preserve">p9:10.4.1</x:t>
        </x:is>
      </x:c>
      <x:c r="B173" t="inlineStr">
        <x:is>
          <x:t xml:space="preserve">Mirror height 1000 mm</x:t>
        </x:is>
      </x:c>
      <x:c r="C173" t="inlineStr">
        <x:is>
          <x:t xml:space="preserve">1.50</x:t>
        </x:is>
      </x:c>
      <x:c r="D173" t="inlineStr">
        <x:is>
          <x:t xml:space="preserve">Lm</x:t>
        </x:is>
      </x:c>
      <x:c r="E173" t="inlineStr">
        <x:is>
          <x:t xml:space="preserve">23</x:t>
        </x:is>
      </x:c>
      <x:c r="F173" t="inlineStr">
        <x:is>
          <x:t xml:space="preserve">Covered</x:t>
        </x:is>
      </x:c>
      <x:c r="G173" t="inlineStr">
        <x:is>
          <x:t xml:space="preserve">9</x:t>
        </x:is>
      </x:c>
    </x:row>
    <x:row r="174">
      <x:c r="A174" t="inlineStr">
        <x:is>
          <x:t xml:space="preserve">p9:10.4.2</x:t>
        </x:is>
      </x:c>
      <x:c r="B174" t="inlineStr">
        <x:is>
          <x:t xml:space="preserve">Mirror height 120 mm</x:t>
        </x:is>
      </x:c>
      <x:c r="C174" t="inlineStr">
        <x:is>
          <x:t xml:space="preserve">15.00</x:t>
        </x:is>
      </x:c>
      <x:c r="D174" t="inlineStr">
        <x:is>
          <x:t xml:space="preserve">Lm</x:t>
        </x:is>
      </x:c>
      <x:c r="E174" t="inlineStr">
        <x:is>
          <x:t xml:space="preserve">23</x:t>
        </x:is>
      </x:c>
      <x:c r="F174" t="inlineStr">
        <x:is>
          <x:t xml:space="preserve">Covered</x:t>
        </x:is>
      </x:c>
      <x:c r="G174" t="inlineStr">
        <x:is>
          <x:t xml:space="preserve">9</x:t>
        </x:is>
      </x:c>
    </x:row>
    <x:row r="175">
      <x:c r="A175" t="inlineStr">
        <x:is>
          <x:t xml:space="preserve">p9:10.5.1</x:t>
        </x:is>
      </x:c>
      <x:c r="B175" t="inlineStr">
        <x:is>
          <x:t xml:space="preserve">Vinyl Curtain in F2 and F3 levels - Wet areas</x:t>
        </x:is>
      </x:c>
      <x:c r="C175" t="inlineStr">
        <x:is>
          <x:t xml:space="preserve">5.50</x:t>
        </x:is>
      </x:c>
      <x:c r="D175" t="inlineStr">
        <x:is>
          <x:t xml:space="preserve">Lm</x:t>
        </x:is>
      </x:c>
      <x:c r="E175" t="inlineStr">
        <x:is>
          <x:t xml:space="preserve">23</x:t>
        </x:is>
      </x:c>
      <x:c r="F175" t="inlineStr">
        <x:is>
          <x:t xml:space="preserve">Covered</x:t>
        </x:is>
      </x:c>
      <x:c r="G175" t="inlineStr">
        <x:is>
          <x:t xml:space="preserve">9</x:t>
        </x:is>
      </x:c>
    </x:row>
    <x:row r="176">
      <x:c r="A176" t="inlineStr">
        <x:is>
          <x:t xml:space="preserve">p9:10.6.1</x:t>
        </x:is>
      </x:c>
      <x:c r="B176" t="inlineStr">
        <x:is>
          <x:t xml:space="preserve">Pictogram For WC / Stairs etc</x:t>
        </x:is>
      </x:c>
      <x:c r="C176" t="inlineStr">
        <x:is>
          <x:t xml:space="preserve">12.00</x:t>
        </x:is>
      </x:c>
      <x:c r="D176" t="inlineStr">
        <x:is>
          <x:t xml:space="preserve">No.</x:t>
        </x:is>
      </x:c>
      <x:c r="E176" t="inlineStr">
        <x:is>
          <x:t xml:space="preserve">23</x:t>
        </x:is>
      </x:c>
      <x:c r="F176" t="inlineStr">
        <x:is>
          <x:t xml:space="preserve">Covered</x:t>
        </x:is>
      </x:c>
      <x:c r="G176" t="inlineStr">
        <x:is>
          <x:t xml:space="preserve">9</x:t>
        </x:is>
      </x:c>
    </x:row>
    <x:row r="177">
      <x:c r="A177" t="inlineStr">
        <x:is>
          <x:t xml:space="preserve">p9:10.6.2</x:t>
        </x:is>
      </x:c>
      <x:c r="B177" t="inlineStr">
        <x:is>
          <x:t xml:space="preserve">Signage for Functions (wall &amp; door)</x:t>
        </x:is>
      </x:c>
      <x:c r="C177" t="inlineStr">
        <x:is>
          <x:t xml:space="preserve">55.00</x:t>
        </x:is>
      </x:c>
      <x:c r="D177" t="inlineStr">
        <x:is>
          <x:t xml:space="preserve">No.</x:t>
        </x:is>
      </x:c>
      <x:c r="E177" t="inlineStr">
        <x:is>
          <x:t xml:space="preserve">23</x:t>
        </x:is>
      </x:c>
      <x:c r="F177" t="inlineStr">
        <x:is>
          <x:t xml:space="preserve">Covered</x:t>
        </x:is>
      </x:c>
      <x:c r="G177" t="inlineStr">
        <x:is>
          <x:t xml:space="preserve">9</x:t>
        </x:is>
      </x:c>
    </x:row>
    <x:row r="178">
      <x:c r="A178" t="inlineStr">
        <x:is>
          <x:t xml:space="preserve">p9:10.6.3.1.1</x:t>
        </x:is>
      </x:c>
      <x:c r="B178" t="inlineStr">
        <x:is>
          <x:t xml:space="preserve">Evacuation Plan, size A3 (General Spaces)</x:t>
        </x:is>
      </x:c>
      <x:c r="C178" t="inlineStr">
        <x:is>
          <x:t xml:space="preserve">4.00</x:t>
        </x:is>
      </x:c>
      <x:c r="D178" t="inlineStr">
        <x:is>
          <x:t xml:space="preserve">No.</x:t>
        </x:is>
      </x:c>
      <x:c r="E178" t="inlineStr">
        <x:is>
          <x:t xml:space="preserve">23</x:t>
        </x:is>
      </x:c>
      <x:c r="F178" t="inlineStr">
        <x:is>
          <x:t xml:space="preserve">Covered</x:t>
        </x:is>
      </x:c>
      <x:c r="G178" t="inlineStr">
        <x:is>
          <x:t xml:space="preserve">9</x:t>
        </x:is>
      </x:c>
    </x:row>
    <x:row r="179">
      <x:c r="A179" t="inlineStr">
        <x:is>
          <x:t xml:space="preserve">p9:10.6.3.1.2</x:t>
        </x:is>
      </x:c>
      <x:c r="B179" t="inlineStr">
        <x:is>
          <x:t xml:space="preserve">Evacuation Plan, size A4 installed in each room of the facility</x:t>
        </x:is>
      </x:c>
      <x:c r="C179" t="inlineStr">
        <x:is>
          <x:t xml:space="preserve">41.00</x:t>
        </x:is>
      </x:c>
      <x:c r="D179" t="inlineStr">
        <x:is>
          <x:t xml:space="preserve">No.</x:t>
        </x:is>
      </x:c>
      <x:c r="E179" t="inlineStr">
        <x:is>
          <x:t xml:space="preserve">23</x:t>
        </x:is>
      </x:c>
      <x:c r="F179" t="inlineStr">
        <x:is>
          <x:t xml:space="preserve">Covered</x:t>
        </x:is>
      </x:c>
      <x:c r="G179" t="inlineStr">
        <x:is>
          <x:t xml:space="preserve">9</x:t>
        </x:is>
      </x:c>
    </x:row>
    <x:row r="180">
      <x:c r="A180" t="inlineStr">
        <x:is>
          <x:t xml:space="preserve">p9:10.6.3.1.3</x:t>
        </x:is>
      </x:c>
      <x:c r="B180" t="inlineStr">
        <x:is>
          <x:t xml:space="preserve">In Case of Fire Use Stairways Do Not Use Elevators, size A5</x:t>
        </x:is>
      </x:c>
      <x:c r="C180" t="inlineStr">
        <x:is>
          <x:t xml:space="preserve">4.00</x:t>
        </x:is>
      </x:c>
      <x:c r="D180" t="inlineStr">
        <x:is>
          <x:t xml:space="preserve">No.</x:t>
        </x:is>
      </x:c>
      <x:c r="E180" t="inlineStr">
        <x:is>
          <x:t xml:space="preserve">23</x:t>
        </x:is>
      </x:c>
      <x:c r="F180" t="inlineStr">
        <x:is>
          <x:t xml:space="preserve">Covered</x:t>
        </x:is>
      </x:c>
      <x:c r="G180" t="inlineStr">
        <x:is>
          <x:t xml:space="preserve">9</x:t>
        </x:is>
      </x:c>
    </x:row>
    <x:row r="181">
      <x:c r="A181" t="inlineStr">
        <x:is>
          <x:t xml:space="preserve">p9:10.6.3.1.4</x:t>
        </x:is>
      </x:c>
      <x:c r="B181" t="inlineStr">
        <x:is>
          <x:t xml:space="preserve">A4 size Area of Rescue Assistance Sign - ADA Compliant</x:t>
        </x:is>
      </x:c>
      <x:c r="C181" t="inlineStr">
        <x:is>
          <x:t xml:space="preserve">3.00</x:t>
        </x:is>
      </x:c>
      <x:c r="D181" t="inlineStr">
        <x:is>
          <x:t xml:space="preserve">No.</x:t>
        </x:is>
      </x:c>
      <x:c r="E181" t="inlineStr">
        <x:is>
          <x:t xml:space="preserve">23</x:t>
        </x:is>
      </x:c>
      <x:c r="F181" t="inlineStr">
        <x:is>
          <x:t xml:space="preserve">Covered</x:t>
        </x:is>
      </x:c>
      <x:c r="G181" t="inlineStr">
        <x:is>
          <x:t xml:space="preserve">9</x:t>
        </x:is>
      </x:c>
    </x:row>
    <x:row r="182">
      <x:c r="A182" t="inlineStr">
        <x:is>
          <x:t xml:space="preserve">p9:10.6.4</x:t>
        </x:is>
      </x:c>
      <x:c r="B182" t="inlineStr">
        <x:is>
          <x:t xml:space="preserve">Assembly Point Signage</x:t>
        </x:is>
      </x:c>
      <x:c r="C182" t="inlineStr">
        <x:is>
          <x:t xml:space="preserve">1.00</x:t>
        </x:is>
      </x:c>
      <x:c r="D182" t="inlineStr">
        <x:is>
          <x:t xml:space="preserve">No.</x:t>
        </x:is>
      </x:c>
      <x:c r="E182" t="inlineStr">
        <x:is>
          <x:t xml:space="preserve">23</x:t>
        </x:is>
      </x:c>
      <x:c r="F182" t="inlineStr">
        <x:is>
          <x:t xml:space="preserve">Covered</x:t>
        </x:is>
      </x:c>
      <x:c r="G182" t="inlineStr">
        <x:is>
          <x:t xml:space="preserve">9</x:t>
        </x:is>
      </x:c>
    </x:row>
    <x:row r="183">
      <x:c r="A183" t="inlineStr">
        <x:is>
          <x:t xml:space="preserve">p9:12.1.1</x:t>
        </x:is>
      </x:c>
      <x:c r="B183" t="inlineStr">
        <x:is>
          <x:t xml:space="preserve">Kitchen Casework (Type 1 for Room FF-11 &amp; F3-05)</x:t>
        </x:is>
      </x:c>
      <x:c r="C183" t="inlineStr">
        <x:is>
          <x:t xml:space="preserve">2.00</x:t>
        </x:is>
      </x:c>
      <x:c r="D183" t="inlineStr">
        <x:is>
          <x:t xml:space="preserve">No.</x:t>
        </x:is>
      </x:c>
      <x:c r="E183" t="inlineStr">
        <x:is>
          <x:t xml:space="preserve">28</x:t>
        </x:is>
      </x:c>
      <x:c r="F183" t="inlineStr">
        <x:is>
          <x:t xml:space="preserve">Covered</x:t>
        </x:is>
      </x:c>
      <x:c r="G183" t="inlineStr">
        <x:is>
          <x:t xml:space="preserve">9</x:t>
        </x:is>
      </x:c>
    </x:row>
    <x:row r="184">
      <x:c r="A184" t="inlineStr">
        <x:is>
          <x:t xml:space="preserve">p9:12.1.2</x:t>
        </x:is>
      </x:c>
      <x:c r="B184" t="inlineStr">
        <x:is>
          <x:t xml:space="preserve">Kitchen Casework (Type 2 for Room F2-10)</x:t>
        </x:is>
      </x:c>
      <x:c r="C184" t="inlineStr">
        <x:is>
          <x:t xml:space="preserve">1.00</x:t>
        </x:is>
      </x:c>
      <x:c r="D184" t="inlineStr">
        <x:is>
          <x:t xml:space="preserve">No.</x:t>
        </x:is>
      </x:c>
      <x:c r="E184" t="inlineStr">
        <x:is>
          <x:t xml:space="preserve">28</x:t>
        </x:is>
      </x:c>
      <x:c r="F184" t="inlineStr">
        <x:is>
          <x:t xml:space="preserve">Covered</x:t>
        </x:is>
      </x:c>
      <x:c r="G184" t="inlineStr">
        <x:is>
          <x:t xml:space="preserve">9</x:t>
        </x:is>
      </x:c>
    </x:row>
    <x:row r="185">
      <x:c r="A185" t="inlineStr">
        <x:is>
          <x:t xml:space="preserve">p9:12.2.1</x:t>
        </x:is>
      </x:c>
      <x:c r="B185" t="inlineStr">
        <x:is>
          <x:t xml:space="preserve">General / Recycling Bins- Lobby/ corridor</x:t>
        </x:is>
      </x:c>
      <x:c r="C185" t="inlineStr">
        <x:is>
          <x:t xml:space="preserve">17.00</x:t>
        </x:is>
      </x:c>
      <x:c r="D185" t="inlineStr">
        <x:is>
          <x:t xml:space="preserve">No.</x:t>
        </x:is>
      </x:c>
      <x:c r="E185" t="inlineStr">
        <x:is>
          <x:t xml:space="preserve">28</x:t>
        </x:is>
      </x:c>
      <x:c r="F185" t="inlineStr">
        <x:is>
          <x:t xml:space="preserve">Covered</x:t>
        </x:is>
      </x:c>
      <x:c r="G185" t="inlineStr">
        <x:is>
          <x:t xml:space="preserve">9</x:t>
        </x:is>
      </x:c>
    </x:row>
    <x:row r="186">
      <x:c r="A186" t="inlineStr">
        <x:is>
          <x:t xml:space="preserve">p9:12.2.2</x:t>
        </x:is>
      </x:c>
      <x:c r="B186" t="inlineStr">
        <x:is>
          <x:t xml:space="preserve">Recyclable Bin- for Workshop Materials</x:t>
        </x:is>
      </x:c>
      <x:c r="C186" t="inlineStr">
        <x:is>
          <x:t xml:space="preserve">3.00</x:t>
        </x:is>
      </x:c>
      <x:c r="D186" t="inlineStr">
        <x:is>
          <x:t xml:space="preserve">No.</x:t>
        </x:is>
      </x:c>
      <x:c r="E186" t="inlineStr">
        <x:is>
          <x:t xml:space="preserve">28</x:t>
        </x:is>
      </x:c>
      <x:c r="F186" t="inlineStr">
        <x:is>
          <x:t xml:space="preserve">Covered</x:t>
        </x:is>
      </x:c>
      <x:c r="G186" t="inlineStr">
        <x:is>
          <x:t xml:space="preserve">9</x:t>
        </x:is>
      </x:c>
    </x:row>
    <x:row r="187">
      <x:c r="A187" t="inlineStr">
        <x:is>
          <x:t xml:space="preserve">p10:12.2.3</x:t>
        </x:is>
      </x:c>
      <x:c r="B187" t="inlineStr">
        <x:is>
          <x:t xml:space="preserve">E-Waste Bin- IT and Electrical rooms</x:t>
        </x:is>
      </x:c>
      <x:c r="C187" t="inlineStr">
        <x:is>
          <x:t xml:space="preserve">7.00</x:t>
        </x:is>
      </x:c>
      <x:c r="D187" t="inlineStr">
        <x:is>
          <x:t xml:space="preserve">No.</x:t>
        </x:is>
      </x:c>
      <x:c r="E187" t="inlineStr">
        <x:is>
          <x:t xml:space="preserve">28</x:t>
        </x:is>
      </x:c>
      <x:c r="F187" t="inlineStr">
        <x:is>
          <x:t xml:space="preserve">Covered</x:t>
        </x:is>
      </x:c>
      <x:c r="G187" t="inlineStr">
        <x:is>
          <x:t xml:space="preserve">10</x:t>
        </x:is>
      </x:c>
    </x:row>
    <x:row r="188">
      <x:c r="A188" t="inlineStr">
        <x:is>
          <x:t xml:space="preserve">p10:12.2.4</x:t>
        </x:is>
      </x:c>
      <x:c r="B188" t="inlineStr">
        <x:is>
          <x:t xml:space="preserve">Central Waste Collection Bin-External Dumpster</x:t>
        </x:is>
      </x:c>
      <x:c r="C188" t="inlineStr">
        <x:is>
          <x:t xml:space="preserve">1.00</x:t>
        </x:is>
      </x:c>
      <x:c r="D188" t="inlineStr">
        <x:is>
          <x:t xml:space="preserve">No.</x:t>
        </x:is>
      </x:c>
      <x:c r="E188" t="inlineStr">
        <x:is>
          <x:t xml:space="preserve">28</x:t>
        </x:is>
      </x:c>
      <x:c r="F188" t="inlineStr">
        <x:is>
          <x:t xml:space="preserve">Covered</x:t>
        </x:is>
      </x:c>
      <x:c r="G188" t="inlineStr">
        <x:is>
          <x:t xml:space="preserve">10</x:t>
        </x:is>
      </x:c>
    </x:row>
    <x:row r="189">
      <x:c r="A189" t="inlineStr">
        <x:is>
          <x:t xml:space="preserve">p10:12.2.5</x:t>
        </x:is>
      </x:c>
      <x:c r="B189" t="inlineStr">
        <x:is>
          <x:t xml:space="preserve">General / Paper / Recycling Bins-General</x:t>
        </x:is>
      </x:c>
      <x:c r="C189" t="inlineStr">
        <x:is>
          <x:t xml:space="preserve">6.00</x:t>
        </x:is>
      </x:c>
      <x:c r="D189" t="inlineStr">
        <x:is>
          <x:t xml:space="preserve">No.</x:t>
        </x:is>
      </x:c>
      <x:c r="E189" t="inlineStr">
        <x:is>
          <x:t xml:space="preserve">28</x:t>
        </x:is>
      </x:c>
      <x:c r="F189" t="inlineStr">
        <x:is>
          <x:t xml:space="preserve">Covered</x:t>
        </x:is>
      </x:c>
      <x:c r="G189" t="inlineStr">
        <x:is>
          <x:t xml:space="preserve">10</x:t>
        </x:is>
      </x:c>
    </x:row>
    <x:row r="190">
      <x:c r="A190" t="inlineStr">
        <x:is>
          <x:t xml:space="preserve">p10:12.2.6</x:t>
        </x:is>
      </x:c>
      <x:c r="B190" t="inlineStr">
        <x:is>
          <x:t xml:space="preserve">General Paper Bins-Classrooms</x:t>
        </x:is>
      </x:c>
      <x:c r="C190" t="inlineStr">
        <x:is>
          <x:t xml:space="preserve">5.00</x:t>
        </x:is>
      </x:c>
      <x:c r="D190" t="inlineStr">
        <x:is>
          <x:t xml:space="preserve">No.</x:t>
        </x:is>
      </x:c>
      <x:c r="E190" t="inlineStr">
        <x:is>
          <x:t xml:space="preserve">28</x:t>
        </x:is>
      </x:c>
      <x:c r="F190" t="inlineStr">
        <x:is>
          <x:t xml:space="preserve">Covered</x:t>
        </x:is>
      </x:c>
      <x:c r="G190" t="inlineStr">
        <x:is>
          <x:t xml:space="preserve">10</x:t>
        </x:is>
      </x:c>
    </x:row>
    <x:row r="191">
      <x:c r="A191" t="inlineStr">
        <x:is>
          <x:t xml:space="preserve">p10:12.2.7</x:t>
        </x:is>
      </x:c>
      <x:c r="B191" t="inlineStr">
        <x:is>
          <x:t xml:space="preserve">General Waste Bins-WCs</x:t>
        </x:is>
      </x:c>
      <x:c r="C191" t="inlineStr">
        <x:is>
          <x:t xml:space="preserve">10.00</x:t>
        </x:is>
      </x:c>
      <x:c r="D191" t="inlineStr">
        <x:is>
          <x:t xml:space="preserve">No.</x:t>
        </x:is>
      </x:c>
      <x:c r="E191" t="inlineStr">
        <x:is>
          <x:t xml:space="preserve">28</x:t>
        </x:is>
      </x:c>
      <x:c r="F191" t="inlineStr">
        <x:is>
          <x:t xml:space="preserve">Covered</x:t>
        </x:is>
      </x:c>
      <x:c r="G191" t="inlineStr">
        <x:is>
          <x:t xml:space="preserve">10</x:t>
        </x:is>
      </x:c>
    </x:row>
    <x:row r="192">
      <x:c r="A192" t="inlineStr">
        <x:is>
          <x:t xml:space="preserve">p10:12.2.8</x:t>
        </x:is>
      </x:c>
      <x:c r="B192" t="inlineStr">
        <x:is>
          <x:t xml:space="preserve">General Waste Bins- Cubicles</x:t>
        </x:is>
      </x:c>
      <x:c r="C192" t="inlineStr">
        <x:is>
          <x:t xml:space="preserve">15.00</x:t>
        </x:is>
      </x:c>
      <x:c r="D192" t="inlineStr">
        <x:is>
          <x:t xml:space="preserve">No.</x:t>
        </x:is>
      </x:c>
      <x:c r="E192" t="inlineStr">
        <x:is>
          <x:t xml:space="preserve">28</x:t>
        </x:is>
      </x:c>
      <x:c r="F192" t="inlineStr">
        <x:is>
          <x:t xml:space="preserve">Covered</x:t>
        </x:is>
      </x:c>
      <x:c r="G192" t="inlineStr">
        <x:is>
          <x:t xml:space="preserve">10</x:t>
        </x:is>
      </x:c>
    </x:row>
    <x:row r="193">
      <x:c r="A193" t="inlineStr">
        <x:is>
          <x:t xml:space="preserve">p10:1.1.1</x:t>
        </x:is>
      </x:c>
      <x:c r="B193" t="inlineStr">
        <x:is>
          <x:t xml:space="preserve">ø75mm PPVC PN16</x:t>
        </x:is>
      </x:c>
      <x:c r="C193" t="inlineStr">
        <x:is>
          <x:t xml:space="preserve">131.00</x:t>
        </x:is>
      </x:c>
      <x:c r="D193" t="inlineStr">
        <x:is>
          <x:t xml:space="preserve">Lm</x:t>
        </x:is>
      </x:c>
      <x:c r="E193" t="inlineStr">
        <x:is>
          <x:t xml:space="preserve">12</x:t>
        </x:is>
      </x:c>
      <x:c r="F193" t="inlineStr">
        <x:is>
          <x:t xml:space="preserve">Covered</x:t>
        </x:is>
      </x:c>
      <x:c r="G193" t="inlineStr">
        <x:is>
          <x:t xml:space="preserve">10</x:t>
        </x:is>
      </x:c>
    </x:row>
    <x:row r="194">
      <x:c r="A194" t="inlineStr">
        <x:is>
          <x:t xml:space="preserve">p10:1.1.2</x:t>
        </x:is>
      </x:c>
      <x:c r="B194" t="inlineStr">
        <x:is>
          <x:t xml:space="preserve">ø110mm CPVC SN8</x:t>
        </x:is>
      </x:c>
      <x:c r="C194" t="inlineStr">
        <x:is>
          <x:t xml:space="preserve">21.00</x:t>
        </x:is>
      </x:c>
      <x:c r="D194" t="inlineStr">
        <x:is>
          <x:t xml:space="preserve">Lm</x:t>
        </x:is>
      </x:c>
      <x:c r="E194" t="inlineStr">
        <x:is>
          <x:t xml:space="preserve">12</x:t>
        </x:is>
      </x:c>
      <x:c r="F194" t="inlineStr">
        <x:is>
          <x:t xml:space="preserve">Covered</x:t>
        </x:is>
      </x:c>
      <x:c r="G194" t="inlineStr">
        <x:is>
          <x:t xml:space="preserve">10</x:t>
        </x:is>
      </x:c>
    </x:row>
    <x:row r="195">
      <x:c r="A195" t="inlineStr">
        <x:is>
          <x:t xml:space="preserve">p10:1.1.3</x:t>
        </x:is>
      </x:c>
      <x:c r="B195" t="inlineStr">
        <x:is>
          <x:t xml:space="preserve">ø110mm Perforated CPVC SN8</x:t>
        </x:is>
      </x:c>
      <x:c r="C195" t="inlineStr">
        <x:is>
          <x:t xml:space="preserve">24.00</x:t>
        </x:is>
      </x:c>
      <x:c r="D195" t="inlineStr">
        <x:is>
          <x:t xml:space="preserve">Lm</x:t>
        </x:is>
      </x:c>
      <x:c r="E195" t="inlineStr">
        <x:is>
          <x:t xml:space="preserve">12</x:t>
        </x:is>
      </x:c>
      <x:c r="F195" t="inlineStr">
        <x:is>
          <x:t xml:space="preserve">Covered</x:t>
        </x:is>
      </x:c>
      <x:c r="G195" t="inlineStr">
        <x:is>
          <x:t xml:space="preserve">10</x:t>
        </x:is>
      </x:c>
    </x:row>
    <x:row r="196">
      <x:c r="A196" t="inlineStr">
        <x:is>
          <x:t xml:space="preserve">p10:1.1.4</x:t>
        </x:is>
      </x:c>
      <x:c r="B196" t="inlineStr">
        <x:is>
          <x:t xml:space="preserve">ø160mm CPVC SN8</x:t>
        </x:is>
      </x:c>
      <x:c r="C196" t="inlineStr">
        <x:is>
          <x:t xml:space="preserve">5.50</x:t>
        </x:is>
      </x:c>
      <x:c r="D196" t="inlineStr">
        <x:is>
          <x:t xml:space="preserve">Lm</x:t>
        </x:is>
      </x:c>
      <x:c r="E196" t="inlineStr">
        <x:is>
          <x:t xml:space="preserve">12</x:t>
        </x:is>
      </x:c>
      <x:c r="F196" t="inlineStr">
        <x:is>
          <x:t xml:space="preserve">Covered</x:t>
        </x:is>
      </x:c>
      <x:c r="G196" t="inlineStr">
        <x:is>
          <x:t xml:space="preserve">10</x:t>
        </x:is>
      </x:c>
    </x:row>
    <x:row r="197">
      <x:c r="A197" t="inlineStr">
        <x:is>
          <x:t xml:space="preserve">p10:1.1.5</x:t>
        </x:is>
      </x:c>
      <x:c r="B197" t="inlineStr">
        <x:is>
          <x:t xml:space="preserve">ø200mm CPVC SN8</x:t>
        </x:is>
      </x:c>
      <x:c r="C197" t="inlineStr">
        <x:is>
          <x:t xml:space="preserve">10.50</x:t>
        </x:is>
      </x:c>
      <x:c r="D197" t="inlineStr">
        <x:is>
          <x:t xml:space="preserve">Lm</x:t>
        </x:is>
      </x:c>
      <x:c r="E197" t="inlineStr">
        <x:is>
          <x:t xml:space="preserve">12</x:t>
        </x:is>
      </x:c>
      <x:c r="F197" t="inlineStr">
        <x:is>
          <x:t xml:space="preserve">Covered</x:t>
        </x:is>
      </x:c>
      <x:c r="G197" t="inlineStr">
        <x:is>
          <x:t xml:space="preserve">10</x:t>
        </x:is>
      </x:c>
    </x:row>
    <x:row r="198">
      <x:c r="A198" t="inlineStr">
        <x:is>
          <x:t xml:space="preserve">p10:1.2</x:t>
        </x:is>
      </x:c>
      <x:c r="B198" t="inlineStr">
        <x:is>
          <x:t xml:space="preserve">Connection to Existing Network</x:t>
        </x:is>
      </x:c>
      <x:c r="C198" t="inlineStr">
        <x:is>
          <x:t xml:space="preserve">1.00</x:t>
        </x:is>
      </x:c>
      <x:c r="D198" t="inlineStr">
        <x:is>
          <x:t xml:space="preserve">Item</x:t>
        </x:is>
      </x:c>
      <x:c r="E198" t="inlineStr">
        <x:is>
          <x:t xml:space="preserve">12</x:t>
        </x:is>
      </x:c>
      <x:c r="F198" t="inlineStr">
        <x:is>
          <x:t xml:space="preserve">Covered</x:t>
        </x:is>
      </x:c>
      <x:c r="G198" t="inlineStr">
        <x:is>
          <x:t xml:space="preserve">10</x:t>
        </x:is>
      </x:c>
    </x:row>
    <x:row r="199">
      <x:c r="A199" t="inlineStr">
        <x:is>
          <x:t xml:space="preserve">p10:1.3.1</x:t>
        </x:is>
      </x:c>
      <x:c r="B199" t="inlineStr">
        <x:is>
          <x:t xml:space="preserve">ø160mm</x:t>
        </x:is>
      </x:c>
      <x:c r="C199" t="inlineStr">
        <x:is>
          <x:t xml:space="preserve">1.00</x:t>
        </x:is>
      </x:c>
      <x:c r="D199" t="inlineStr">
        <x:is>
          <x:t xml:space="preserve">No.</x:t>
        </x:is>
      </x:c>
      <x:c r="E199" t="inlineStr">
        <x:is>
          <x:t xml:space="preserve">12</x:t>
        </x:is>
      </x:c>
      <x:c r="F199" t="inlineStr">
        <x:is>
          <x:t xml:space="preserve">Covered</x:t>
        </x:is>
      </x:c>
      <x:c r="G199" t="inlineStr">
        <x:is>
          <x:t xml:space="preserve">10</x:t>
        </x:is>
      </x:c>
    </x:row>
    <x:row r="200">
      <x:c r="A200" t="inlineStr">
        <x:is>
          <x:t xml:space="preserve">p10:1.4.1</x:t>
        </x:is>
      </x:c>
      <x:c r="B200" t="inlineStr">
        <x:is>
          <x:t xml:space="preserve">Pressure Break Manhole 600x600</x:t>
        </x:is>
      </x:c>
      <x:c r="C200" t="inlineStr">
        <x:is>
          <x:t xml:space="preserve">1.00</x:t>
        </x:is>
      </x:c>
      <x:c r="D200" t="inlineStr">
        <x:is>
          <x:t xml:space="preserve">No.</x:t>
        </x:is>
      </x:c>
      <x:c r="E200" t="inlineStr">
        <x:is>
          <x:t xml:space="preserve">12</x:t>
        </x:is>
      </x:c>
      <x:c r="F200" t="inlineStr">
        <x:is>
          <x:t xml:space="preserve">Covered</x:t>
        </x:is>
      </x:c>
      <x:c r="G200" t="inlineStr">
        <x:is>
          <x:t xml:space="preserve">10</x:t>
        </x:is>
      </x:c>
    </x:row>
    <x:row r="201">
      <x:c r="A201" t="inlineStr">
        <x:is>
          <x:t xml:space="preserve">p10:2.1.1</x:t>
        </x:is>
      </x:c>
      <x:c r="B201" t="inlineStr">
        <x:is>
          <x:t xml:space="preserve">Ø 50 mm</x:t>
        </x:is>
      </x:c>
      <x:c r="C201" t="inlineStr">
        <x:is>
          <x:t xml:space="preserve">37.00</x:t>
        </x:is>
      </x:c>
      <x:c r="D201" t="inlineStr">
        <x:is>
          <x:t xml:space="preserve">Lm</x:t>
        </x:is>
      </x:c>
      <x:c r="E201" t="inlineStr">
        <x:is>
          <x:t xml:space="preserve">12</x:t>
        </x:is>
      </x:c>
      <x:c r="F201" t="inlineStr">
        <x:is>
          <x:t xml:space="preserve">Covered</x:t>
        </x:is>
      </x:c>
      <x:c r="G201" t="inlineStr">
        <x:is>
          <x:t xml:space="preserve">10</x:t>
        </x:is>
      </x:c>
    </x:row>
    <x:row r="202">
      <x:c r="A202" t="inlineStr">
        <x:is>
          <x:t xml:space="preserve">p10:2.1.2</x:t>
        </x:is>
      </x:c>
      <x:c r="B202" t="inlineStr">
        <x:is>
          <x:t xml:space="preserve">Ø 75 mm</x:t>
        </x:is>
      </x:c>
      <x:c r="C202" t="inlineStr">
        <x:is>
          <x:t xml:space="preserve">147.00</x:t>
        </x:is>
      </x:c>
      <x:c r="D202" t="inlineStr">
        <x:is>
          <x:t xml:space="preserve">Lm</x:t>
        </x:is>
      </x:c>
      <x:c r="E202" t="inlineStr">
        <x:is>
          <x:t xml:space="preserve">12</x:t>
        </x:is>
      </x:c>
      <x:c r="F202" t="inlineStr">
        <x:is>
          <x:t xml:space="preserve">Covered</x:t>
        </x:is>
      </x:c>
      <x:c r="G202" t="inlineStr">
        <x:is>
          <x:t xml:space="preserve">10</x:t>
        </x:is>
      </x:c>
    </x:row>
    <x:row r="203">
      <x:c r="A203" t="inlineStr">
        <x:is>
          <x:t xml:space="preserve">p10:2.1.3</x:t>
        </x:is>
      </x:c>
      <x:c r="B203" t="inlineStr">
        <x:is>
          <x:t xml:space="preserve">Ø 110 mm</x:t>
        </x:is>
      </x:c>
      <x:c r="C203" t="inlineStr">
        <x:is>
          <x:t xml:space="preserve">105.00</x:t>
        </x:is>
      </x:c>
      <x:c r="D203" t="inlineStr">
        <x:is>
          <x:t xml:space="preserve">Lm</x:t>
        </x:is>
      </x:c>
      <x:c r="E203" t="inlineStr">
        <x:is>
          <x:t xml:space="preserve">12</x:t>
        </x:is>
      </x:c>
      <x:c r="F203" t="inlineStr">
        <x:is>
          <x:t xml:space="preserve">Covered</x:t>
        </x:is>
      </x:c>
      <x:c r="G203" t="inlineStr">
        <x:is>
          <x:t xml:space="preserve">10</x:t>
        </x:is>
      </x:c>
    </x:row>
    <x:row r="204">
      <x:c r="A204" t="inlineStr">
        <x:is>
          <x:t xml:space="preserve">p10:2.1.4</x:t>
        </x:is>
      </x:c>
      <x:c r="B204" t="inlineStr">
        <x:is>
          <x:t xml:space="preserve">Ø 160 mm</x:t>
        </x:is>
      </x:c>
      <x:c r="C204" t="inlineStr">
        <x:is>
          <x:t xml:space="preserve">42.00</x:t>
        </x:is>
      </x:c>
      <x:c r="D204" t="inlineStr">
        <x:is>
          <x:t xml:space="preserve">Lm</x:t>
        </x:is>
      </x:c>
      <x:c r="E204" t="inlineStr">
        <x:is>
          <x:t xml:space="preserve">12</x:t>
        </x:is>
      </x:c>
      <x:c r="F204" t="inlineStr">
        <x:is>
          <x:t xml:space="preserve">Covered</x:t>
        </x:is>
      </x:c>
      <x:c r="G204" t="inlineStr">
        <x:is>
          <x:t xml:space="preserve">10</x:t>
        </x:is>
      </x:c>
    </x:row>
    <x:row r="205">
      <x:c r="A205" t="inlineStr">
        <x:is>
          <x:t xml:space="preserve">p10:2.1.5</x:t>
        </x:is>
      </x:c>
      <x:c r="B205" t="inlineStr">
        <x:is>
          <x:t xml:space="preserve">Ø 200 mm</x:t>
        </x:is>
      </x:c>
      <x:c r="C205" t="inlineStr">
        <x:is>
          <x:t xml:space="preserve">94.50</x:t>
        </x:is>
      </x:c>
      <x:c r="D205" t="inlineStr">
        <x:is>
          <x:t xml:space="preserve">lm</x:t>
        </x:is>
      </x:c>
      <x:c r="E205" t="inlineStr">
        <x:is>
          <x:t xml:space="preserve">12</x:t>
        </x:is>
      </x:c>
      <x:c r="F205" t="inlineStr">
        <x:is>
          <x:t xml:space="preserve">Covered</x:t>
        </x:is>
      </x:c>
      <x:c r="G205" t="inlineStr">
        <x:is>
          <x:t xml:space="preserve">10</x:t>
        </x:is>
      </x:c>
    </x:row>
    <x:row r="206">
      <x:c r="A206" t="inlineStr">
        <x:is>
          <x:t xml:space="preserve">p10:2.2</x:t>
        </x:is>
      </x:c>
      <x:c r="B206" t="inlineStr">
        <x:is>
          <x:t xml:space="preserve">Floor Drain</x:t>
        </x:is>
      </x:c>
      <x:c r="C206" t="inlineStr">
        <x:is>
          <x:t xml:space="preserve">25.00</x:t>
        </x:is>
      </x:c>
      <x:c r="D206" t="inlineStr">
        <x:is>
          <x:t xml:space="preserve">No.</x:t>
        </x:is>
      </x:c>
      <x:c r="E206" t="inlineStr">
        <x:is>
          <x:t xml:space="preserve">12,16</x:t>
        </x:is>
      </x:c>
      <x:c r="F206" t="inlineStr">
        <x:is>
          <x:t xml:space="preserve">Requires Clarification</x:t>
        </x:is>
      </x:c>
      <x:c r="G206" t="inlineStr">
        <x:is>
          <x:t xml:space="preserve">10</x:t>
        </x:is>
      </x:c>
    </x:row>
    <x:row r="207">
      <x:c r="A207" t="inlineStr">
        <x:is>
          <x:t xml:space="preserve">p10:2.3</x:t>
        </x:is>
      </x:c>
      <x:c r="B207" t="inlineStr">
        <x:is>
          <x:t xml:space="preserve">Floor Clean Out</x:t>
        </x:is>
      </x:c>
      <x:c r="C207" t="inlineStr">
        <x:is>
          <x:t xml:space="preserve">8.00</x:t>
        </x:is>
      </x:c>
      <x:c r="D207" t="inlineStr">
        <x:is>
          <x:t xml:space="preserve">No.</x:t>
        </x:is>
      </x:c>
      <x:c r="E207" t="inlineStr">
        <x:is>
          <x:t xml:space="preserve">12,16</x:t>
        </x:is>
      </x:c>
      <x:c r="F207" t="inlineStr">
        <x:is>
          <x:t xml:space="preserve">Requires Clarification</x:t>
        </x:is>
      </x:c>
      <x:c r="G207" t="inlineStr">
        <x:is>
          <x:t xml:space="preserve">10</x:t>
        </x:is>
      </x:c>
    </x:row>
    <x:row r="208">
      <x:c r="A208" t="inlineStr">
        <x:is>
          <x:t xml:space="preserve">p10:2.4.1</x:t>
        </x:is>
      </x:c>
      <x:c r="B208" t="inlineStr">
        <x:is>
          <x:t xml:space="preserve">Stainless Steel Roof Drain 110 mm</x:t>
        </x:is>
      </x:c>
      <x:c r="C208" t="inlineStr">
        <x:is>
          <x:t xml:space="preserve">1.00</x:t>
        </x:is>
      </x:c>
      <x:c r="D208" t="inlineStr">
        <x:is>
          <x:t xml:space="preserve">No</x:t>
        </x:is>
      </x:c>
      <x:c r="E208" t="inlineStr">
        <x:is>
          <x:t xml:space="preserve">12</x:t>
        </x:is>
      </x:c>
      <x:c r="F208" t="inlineStr">
        <x:is>
          <x:t xml:space="preserve">Covered</x:t>
        </x:is>
      </x:c>
      <x:c r="G208" t="inlineStr">
        <x:is>
          <x:t xml:space="preserve">10</x:t>
        </x:is>
      </x:c>
    </x:row>
    <x:row r="209">
      <x:c r="A209" t="inlineStr">
        <x:is>
          <x:t xml:space="preserve">p10:2.4.2</x:t>
        </x:is>
      </x:c>
      <x:c r="B209" t="inlineStr">
        <x:is>
          <x:t xml:space="preserve">Stainless Steel Roof Drain 160 mm</x:t>
        </x:is>
      </x:c>
      <x:c r="C209" t="inlineStr">
        <x:is>
          <x:t xml:space="preserve">8.40</x:t>
        </x:is>
      </x:c>
      <x:c r="D209" t="inlineStr">
        <x:is>
          <x:t xml:space="preserve">No</x:t>
        </x:is>
      </x:c>
      <x:c r="E209" t="inlineStr">
        <x:is>
          <x:t xml:space="preserve">12</x:t>
        </x:is>
      </x:c>
      <x:c r="F209" t="inlineStr">
        <x:is>
          <x:t xml:space="preserve">Covered</x:t>
        </x:is>
      </x:c>
      <x:c r="G209" t="inlineStr">
        <x:is>
          <x:t xml:space="preserve">10</x:t>
        </x:is>
      </x:c>
    </x:row>
    <x:row r="210">
      <x:c r="A210" t="inlineStr">
        <x:is>
          <x:t xml:space="preserve">p11:2.5.2</x:t>
        </x:is>
      </x:c>
      <x:c r="B210" t="inlineStr">
        <x:is>
          <x:t xml:space="preserve">Wide 400 mm (only channel drain cover) made of heavy-duty ductile iron</x:t>
        </x:is>
      </x:c>
      <x:c r="C210" t="inlineStr">
        <x:is>
          <x:t xml:space="preserve">18.00</x:t>
        </x:is>
      </x:c>
      <x:c r="D210" t="inlineStr">
        <x:is>
          <x:t xml:space="preserve">Lm</x:t>
        </x:is>
      </x:c>
      <x:c r="E210" t="inlineStr">
        <x:is>
          <x:t xml:space="preserve">12</x:t>
        </x:is>
      </x:c>
      <x:c r="F210" t="inlineStr">
        <x:is>
          <x:t xml:space="preserve">Covered</x:t>
        </x:is>
      </x:c>
      <x:c r="G210" t="inlineStr">
        <x:is>
          <x:t xml:space="preserve">11</x:t>
        </x:is>
      </x:c>
    </x:row>
    <x:row r="211">
      <x:c r="A211" t="inlineStr">
        <x:is>
          <x:t xml:space="preserve">p11:2.6.1</x:t>
        </x:is>
      </x:c>
      <x:c r="B211" t="inlineStr">
        <x:is>
          <x:t xml:space="preserve">300mmx200mm for the inclined top of roof</x:t>
        </x:is>
      </x:c>
      <x:c r="C211" t="inlineStr">
        <x:is>
          <x:t xml:space="preserve">3.50</x:t>
        </x:is>
      </x:c>
      <x:c r="D211" t="inlineStr">
        <x:is>
          <x:t xml:space="preserve">m2</x:t>
        </x:is>
      </x:c>
      <x:c r="E211" t="inlineStr">
        <x:is>
          <x:t xml:space="preserve">12</x:t>
        </x:is>
      </x:c>
      <x:c r="F211" t="inlineStr">
        <x:is>
          <x:t xml:space="preserve">Covered</x:t>
        </x:is>
      </x:c>
      <x:c r="G211" t="inlineStr">
        <x:is>
          <x:t xml:space="preserve">11</x:t>
        </x:is>
      </x:c>
    </x:row>
    <x:row r="212">
      <x:c r="A212" t="inlineStr">
        <x:is>
          <x:t xml:space="preserve">p11:2.6.2</x:t>
        </x:is>
      </x:c>
      <x:c r="B212" t="inlineStr">
        <x:is>
          <x:t xml:space="preserve">400mmx300mm for the Inclined roof</x:t>
        </x:is>
      </x:c>
      <x:c r="C212" t="inlineStr">
        <x:is>
          <x:t xml:space="preserve">54.00</x:t>
        </x:is>
      </x:c>
      <x:c r="D212" t="inlineStr">
        <x:is>
          <x:t xml:space="preserve">m2</x:t>
        </x:is>
      </x:c>
      <x:c r="E212" t="inlineStr">
        <x:is>
          <x:t xml:space="preserve">12</x:t>
        </x:is>
      </x:c>
      <x:c r="F212" t="inlineStr">
        <x:is>
          <x:t xml:space="preserve">Covered</x:t>
        </x:is>
      </x:c>
      <x:c r="G212" t="inlineStr">
        <x:is>
          <x:t xml:space="preserve">11</x:t>
        </x:is>
      </x:c>
    </x:row>
    <x:row r="213">
      <x:c r="A213" t="inlineStr">
        <x:is>
          <x:t xml:space="preserve">p11:2.6.3</x:t>
        </x:is>
      </x:c>
      <x:c r="B213" t="inlineStr">
        <x:is>
          <x:t xml:space="preserve">Wide 300 mm Stainless-Steel heavy-duty wire mesh cover, wire diameter 2mm</x:t>
        </x:is>
      </x:c>
      <x:c r="C213" t="inlineStr">
        <x:is>
          <x:t xml:space="preserve">2.00</x:t>
        </x:is>
      </x:c>
      <x:c r="D213" t="inlineStr">
        <x:is>
          <x:t xml:space="preserve">m2</x:t>
        </x:is>
      </x:c>
      <x:c r="E213" t="inlineStr">
        <x:is>
          <x:t xml:space="preserve">12</x:t>
        </x:is>
      </x:c>
      <x:c r="F213" t="inlineStr">
        <x:is>
          <x:t xml:space="preserve">Covered</x:t>
        </x:is>
      </x:c>
      <x:c r="G213" t="inlineStr">
        <x:is>
          <x:t xml:space="preserve">11</x:t>
        </x:is>
      </x:c>
    </x:row>
    <x:row r="214">
      <x:c r="A214" t="inlineStr">
        <x:is>
          <x:t xml:space="preserve">p11:2.6.4</x:t>
        </x:is>
      </x:c>
      <x:c r="B214" t="inlineStr">
        <x:is>
          <x:t xml:space="preserve">Wide 400 mm Stainless-Steel heavy-duty wire mesh cover, wire diameter 2mm</x:t>
        </x:is>
      </x:c>
      <x:c r="C214" t="inlineStr">
        <x:is>
          <x:t xml:space="preserve">23.00</x:t>
        </x:is>
      </x:c>
      <x:c r="D214" t="inlineStr">
        <x:is>
          <x:t xml:space="preserve">m2</x:t>
        </x:is>
      </x:c>
      <x:c r="E214" t="inlineStr">
        <x:is>
          <x:t xml:space="preserve">12</x:t>
        </x:is>
      </x:c>
      <x:c r="F214" t="inlineStr">
        <x:is>
          <x:t xml:space="preserve">Covered</x:t>
        </x:is>
      </x:c>
      <x:c r="G214" t="inlineStr">
        <x:is>
          <x:t xml:space="preserve">11</x:t>
        </x:is>
      </x:c>
    </x:row>
    <x:row r="215">
      <x:c r="A215" t="inlineStr">
        <x:is>
          <x:t xml:space="preserve">p11:2.7.1</x:t>
        </x:is>
      </x:c>
      <x:c r="B215" t="inlineStr">
        <x:is>
          <x:t xml:space="preserve">Ø 27 mm PPVC with 13mm foam insulation and tape</x:t>
        </x:is>
      </x:c>
      <x:c r="C215" t="inlineStr">
        <x:is>
          <x:t xml:space="preserve">37.00</x:t>
        </x:is>
      </x:c>
      <x:c r="D215" t="inlineStr">
        <x:is>
          <x:t xml:space="preserve">Lm</x:t>
        </x:is>
      </x:c>
      <x:c r="E215" t="inlineStr">
        <x:is>
          <x:t xml:space="preserve">12</x:t>
        </x:is>
      </x:c>
      <x:c r="F215" t="inlineStr">
        <x:is>
          <x:t xml:space="preserve">Covered</x:t>
        </x:is>
      </x:c>
      <x:c r="G215" t="inlineStr">
        <x:is>
          <x:t xml:space="preserve">11</x:t>
        </x:is>
      </x:c>
    </x:row>
    <x:row r="216">
      <x:c r="A216" t="inlineStr">
        <x:is>
          <x:t xml:space="preserve">p11:2.8</x:t>
        </x:is>
      </x:c>
      <x:c r="B216" t="inlineStr">
        <x:is>
          <x:t xml:space="preserve">Area Drain</x:t>
        </x:is>
      </x:c>
      <x:c r="C216" t="inlineStr">
        <x:is>
          <x:t xml:space="preserve">2.00</x:t>
        </x:is>
      </x:c>
      <x:c r="D216" t="inlineStr">
        <x:is>
          <x:t xml:space="preserve">No.</x:t>
        </x:is>
      </x:c>
      <x:c r="E216" t="inlineStr">
        <x:is>
          <x:t xml:space="preserve">12</x:t>
        </x:is>
      </x:c>
      <x:c r="F216" t="inlineStr">
        <x:is>
          <x:t xml:space="preserve">Covered</x:t>
        </x:is>
      </x:c>
      <x:c r="G216" t="inlineStr">
        <x:is>
          <x:t xml:space="preserve">11</x:t>
        </x:is>
      </x:c>
    </x:row>
    <x:row r="217">
      <x:c r="A217" t="inlineStr">
        <x:is>
          <x:t xml:space="preserve">p11:2.9</x:t>
        </x:is>
      </x:c>
      <x:c r="B217" t="inlineStr">
        <x:is>
          <x:t xml:space="preserve">Oil Separator</x:t>
        </x:is>
      </x:c>
      <x:c r="C217" t="inlineStr">
        <x:is>
          <x:t xml:space="preserve">1.00</x:t>
        </x:is>
      </x:c>
      <x:c r="D217" t="inlineStr">
        <x:is>
          <x:t xml:space="preserve">No.</x:t>
        </x:is>
      </x:c>
      <x:c r="E217" t="inlineStr">
        <x:is>
          <x:t xml:space="preserve">12</x:t>
        </x:is>
      </x:c>
      <x:c r="F217" t="inlineStr">
        <x:is>
          <x:t xml:space="preserve">Covered</x:t>
        </x:is>
      </x:c>
      <x:c r="G217" t="inlineStr">
        <x:is>
          <x:t xml:space="preserve">11</x:t>
        </x:is>
      </x:c>
    </x:row>
    <x:row r="218">
      <x:c r="A218" t="inlineStr">
        <x:is>
          <x:t xml:space="preserve">p11:2.10.1</x:t>
        </x:is>
      </x:c>
      <x:c r="B218" t="inlineStr">
        <x:is>
          <x:t xml:space="preserve">Ø 75 mm</x:t>
        </x:is>
      </x:c>
      <x:c r="C218" t="inlineStr">
        <x:is>
          <x:t xml:space="preserve">200.00</x:t>
        </x:is>
      </x:c>
      <x:c r="D218" t="inlineStr">
        <x:is>
          <x:t xml:space="preserve">Lm</x:t>
        </x:is>
      </x:c>
      <x:c r="E218" t="inlineStr">
        <x:is>
          <x:t xml:space="preserve">12</x:t>
        </x:is>
      </x:c>
      <x:c r="F218" t="inlineStr">
        <x:is>
          <x:t xml:space="preserve">Covered</x:t>
        </x:is>
      </x:c>
      <x:c r="G218" t="inlineStr">
        <x:is>
          <x:t xml:space="preserve">11</x:t>
        </x:is>
      </x:c>
    </x:row>
    <x:row r="219">
      <x:c r="A219" t="inlineStr">
        <x:is>
          <x:t xml:space="preserve">p11:2.10.2</x:t>
        </x:is>
      </x:c>
      <x:c r="B219" t="inlineStr">
        <x:is>
          <x:t xml:space="preserve">Ø 110 mm</x:t>
        </x:is>
      </x:c>
      <x:c r="C219" t="inlineStr">
        <x:is>
          <x:t xml:space="preserve">105.00</x:t>
        </x:is>
      </x:c>
      <x:c r="D219" t="inlineStr">
        <x:is>
          <x:t xml:space="preserve">Lm</x:t>
        </x:is>
      </x:c>
      <x:c r="E219" t="inlineStr">
        <x:is>
          <x:t xml:space="preserve">12</x:t>
        </x:is>
      </x:c>
      <x:c r="F219" t="inlineStr">
        <x:is>
          <x:t xml:space="preserve">Covered</x:t>
        </x:is>
      </x:c>
      <x:c r="G219" t="inlineStr">
        <x:is>
          <x:t xml:space="preserve">11</x:t>
        </x:is>
      </x:c>
    </x:row>
    <x:row r="220">
      <x:c r="A220" t="inlineStr">
        <x:is>
          <x:t xml:space="preserve">p11:2.10.3</x:t>
        </x:is>
      </x:c>
      <x:c r="B220" t="inlineStr">
        <x:is>
          <x:t xml:space="preserve">Ø 160 mm</x:t>
        </x:is>
      </x:c>
      <x:c r="C220" t="inlineStr">
        <x:is>
          <x:t xml:space="preserve">42.00</x:t>
        </x:is>
      </x:c>
      <x:c r="D220" t="inlineStr">
        <x:is>
          <x:t xml:space="preserve">Lm</x:t>
        </x:is>
      </x:c>
      <x:c r="E220" t="inlineStr">
        <x:is>
          <x:t xml:space="preserve">12</x:t>
        </x:is>
      </x:c>
      <x:c r="F220" t="inlineStr">
        <x:is>
          <x:t xml:space="preserve">Covered</x:t>
        </x:is>
      </x:c>
      <x:c r="G220" t="inlineStr">
        <x:is>
          <x:t xml:space="preserve">11</x:t>
        </x:is>
      </x:c>
    </x:row>
    <x:row r="221">
      <x:c r="A221" t="inlineStr">
        <x:is>
          <x:t xml:space="preserve">p11:2.10.4</x:t>
        </x:is>
      </x:c>
      <x:c r="B221" t="inlineStr">
        <x:is>
          <x:t xml:space="preserve">Ø 200 mm</x:t>
        </x:is>
      </x:c>
      <x:c r="C221" t="inlineStr">
        <x:is>
          <x:t xml:space="preserve">94.50</x:t>
        </x:is>
      </x:c>
      <x:c r="D221" t="inlineStr">
        <x:is>
          <x:t xml:space="preserve">lm</x:t>
        </x:is>
      </x:c>
      <x:c r="E221" t="inlineStr">
        <x:is>
          <x:t xml:space="preserve">12</x:t>
        </x:is>
      </x:c>
      <x:c r="F221" t="inlineStr">
        <x:is>
          <x:t xml:space="preserve">Covered</x:t>
        </x:is>
      </x:c>
      <x:c r="G221" t="inlineStr">
        <x:is>
          <x:t xml:space="preserve">11</x:t>
        </x:is>
      </x:c>
    </x:row>
    <x:row r="222">
      <x:c r="A222" t="inlineStr">
        <x:is>
          <x:t xml:space="preserve">p11:2.11.1</x:t>
        </x:is>
      </x:c>
      <x:c r="B222" t="inlineStr">
        <x:is>
          <x:t xml:space="preserve">Lavatories</x:t>
        </x:is>
      </x:c>
      <x:c r="C222" t="inlineStr">
        <x:is>
          <x:t xml:space="preserve">14.00</x:t>
        </x:is>
      </x:c>
      <x:c r="D222" t="inlineStr">
        <x:is>
          <x:t xml:space="preserve">No.</x:t>
        </x:is>
      </x:c>
      <x:c r="E222" t="inlineStr">
        <x:is>
          <x:t xml:space="preserve">12</x:t>
        </x:is>
      </x:c>
      <x:c r="F222" t="inlineStr">
        <x:is>
          <x:t xml:space="preserve">Covered</x:t>
        </x:is>
      </x:c>
      <x:c r="G222" t="inlineStr">
        <x:is>
          <x:t xml:space="preserve">11</x:t>
        </x:is>
      </x:c>
    </x:row>
    <x:row r="223">
      <x:c r="A223" t="inlineStr">
        <x:is>
          <x:t xml:space="preserve">p11:2.11.2</x:t>
        </x:is>
      </x:c>
      <x:c r="B223" t="inlineStr">
        <x:is>
          <x:t xml:space="preserve">Sinks</x:t>
        </x:is>
      </x:c>
      <x:c r="C223" t="inlineStr">
        <x:is>
          <x:t xml:space="preserve">3.00</x:t>
        </x:is>
      </x:c>
      <x:c r="D223" t="inlineStr">
        <x:is>
          <x:t xml:space="preserve">No.</x:t>
        </x:is>
      </x:c>
      <x:c r="E223" t="inlineStr">
        <x:is>
          <x:t xml:space="preserve">12</x:t>
        </x:is>
      </x:c>
      <x:c r="F223" t="inlineStr">
        <x:is>
          <x:t xml:space="preserve">Covered</x:t>
        </x:is>
      </x:c>
      <x:c r="G223" t="inlineStr">
        <x:is>
          <x:t xml:space="preserve">11</x:t>
        </x:is>
      </x:c>
    </x:row>
    <x:row r="224">
      <x:c r="A224" t="inlineStr">
        <x:is>
          <x:t xml:space="preserve">p11:2.11.3</x:t>
        </x:is>
      </x:c>
      <x:c r="B224" t="inlineStr">
        <x:is>
          <x:t xml:space="preserve">WC</x:t>
        </x:is>
      </x:c>
      <x:c r="C224" t="inlineStr">
        <x:is>
          <x:t xml:space="preserve">15.00</x:t>
        </x:is>
      </x:c>
      <x:c r="D224" t="inlineStr">
        <x:is>
          <x:t xml:space="preserve">No.</x:t>
        </x:is>
      </x:c>
      <x:c r="E224" t="inlineStr">
        <x:is>
          <x:t xml:space="preserve">12</x:t>
        </x:is>
      </x:c>
      <x:c r="F224" t="inlineStr">
        <x:is>
          <x:t xml:space="preserve">Covered</x:t>
        </x:is>
      </x:c>
      <x:c r="G224" t="inlineStr">
        <x:is>
          <x:t xml:space="preserve">11</x:t>
        </x:is>
      </x:c>
    </x:row>
    <x:row r="225">
      <x:c r="A225" t="inlineStr">
        <x:is>
          <x:t xml:space="preserve">p11:2.11.4</x:t>
        </x:is>
      </x:c>
      <x:c r="B225" t="inlineStr">
        <x:is>
          <x:t xml:space="preserve">Shower Heads</x:t>
        </x:is>
      </x:c>
      <x:c r="C225" t="inlineStr">
        <x:is>
          <x:t xml:space="preserve">8.00</x:t>
        </x:is>
      </x:c>
      <x:c r="D225" t="inlineStr">
        <x:is>
          <x:t xml:space="preserve">No.</x:t>
        </x:is>
      </x:c>
      <x:c r="E225" t="inlineStr">
        <x:is>
          <x:t xml:space="preserve">12</x:t>
        </x:is>
      </x:c>
      <x:c r="F225" t="inlineStr">
        <x:is>
          <x:t xml:space="preserve">Covered</x:t>
        </x:is>
      </x:c>
      <x:c r="G225" t="inlineStr">
        <x:is>
          <x:t xml:space="preserve">11</x:t>
        </x:is>
      </x:c>
    </x:row>
    <x:row r="226">
      <x:c r="A226" t="inlineStr">
        <x:is>
          <x:t xml:space="preserve">p11:3.1.1</x:t>
        </x:is>
      </x:c>
      <x:c r="B226" t="inlineStr">
        <x:is>
          <x:t xml:space="preserve">Ø 25 mm PPR</x:t>
        </x:is>
      </x:c>
      <x:c r="C226" t="inlineStr">
        <x:is>
          <x:t xml:space="preserve">183.00</x:t>
        </x:is>
      </x:c>
      <x:c r="D226" t="inlineStr">
        <x:is>
          <x:t xml:space="preserve">lm</x:t>
        </x:is>
      </x:c>
      <x:c r="E226" t="inlineStr">
        <x:is>
          <x:t xml:space="preserve">13</x:t>
        </x:is>
      </x:c>
      <x:c r="F226" t="inlineStr">
        <x:is>
          <x:t xml:space="preserve">Covered</x:t>
        </x:is>
      </x:c>
      <x:c r="G226" t="inlineStr">
        <x:is>
          <x:t xml:space="preserve">11</x:t>
        </x:is>
      </x:c>
    </x:row>
    <x:row r="227">
      <x:c r="A227" t="inlineStr">
        <x:is>
          <x:t xml:space="preserve">p11:3.1.2</x:t>
        </x:is>
      </x:c>
      <x:c r="B227" t="inlineStr">
        <x:is>
          <x:t xml:space="preserve">Ø 32 mm PPR</x:t>
        </x:is>
      </x:c>
      <x:c r="C227" t="inlineStr">
        <x:is>
          <x:t xml:space="preserve">288.00</x:t>
        </x:is>
      </x:c>
      <x:c r="D227" t="inlineStr">
        <x:is>
          <x:t xml:space="preserve">lm</x:t>
        </x:is>
      </x:c>
      <x:c r="E227" t="inlineStr">
        <x:is>
          <x:t xml:space="preserve">13</x:t>
        </x:is>
      </x:c>
      <x:c r="F227" t="inlineStr">
        <x:is>
          <x:t xml:space="preserve">Covered</x:t>
        </x:is>
      </x:c>
      <x:c r="G227" t="inlineStr">
        <x:is>
          <x:t xml:space="preserve">11</x:t>
        </x:is>
      </x:c>
    </x:row>
    <x:row r="228">
      <x:c r="A228" t="inlineStr">
        <x:is>
          <x:t xml:space="preserve">p11:3.1.3</x:t>
        </x:is>
      </x:c>
      <x:c r="B228" t="inlineStr">
        <x:is>
          <x:t xml:space="preserve">Ø 40 mm PPR</x:t>
        </x:is>
      </x:c>
      <x:c r="C228" t="inlineStr">
        <x:is>
          <x:t xml:space="preserve">47.00</x:t>
        </x:is>
      </x:c>
      <x:c r="D228" t="inlineStr">
        <x:is>
          <x:t xml:space="preserve">lm</x:t>
        </x:is>
      </x:c>
      <x:c r="E228" t="inlineStr">
        <x:is>
          <x:t xml:space="preserve">13</x:t>
        </x:is>
      </x:c>
      <x:c r="F228" t="inlineStr">
        <x:is>
          <x:t xml:space="preserve">Covered</x:t>
        </x:is>
      </x:c>
      <x:c r="G228" t="inlineStr">
        <x:is>
          <x:t xml:space="preserve">11</x:t>
        </x:is>
      </x:c>
    </x:row>
    <x:row r="229">
      <x:c r="A229" t="inlineStr">
        <x:is>
          <x:t xml:space="preserve">p11:3.1.4</x:t>
        </x:is>
      </x:c>
      <x:c r="B229" t="inlineStr">
        <x:is>
          <x:t xml:space="preserve">Ø 50 mm PPR</x:t>
        </x:is>
      </x:c>
      <x:c r="C229" t="inlineStr">
        <x:is>
          <x:t xml:space="preserve">9.50</x:t>
        </x:is>
      </x:c>
      <x:c r="D229" t="inlineStr">
        <x:is>
          <x:t xml:space="preserve">lm</x:t>
        </x:is>
      </x:c>
      <x:c r="E229" t="inlineStr">
        <x:is>
          <x:t xml:space="preserve">13</x:t>
        </x:is>
      </x:c>
      <x:c r="F229" t="inlineStr">
        <x:is>
          <x:t xml:space="preserve">Covered</x:t>
        </x:is>
      </x:c>
      <x:c r="G229" t="inlineStr">
        <x:is>
          <x:t xml:space="preserve">11</x:t>
        </x:is>
      </x:c>
    </x:row>
    <x:row r="230">
      <x:c r="A230" t="inlineStr">
        <x:is>
          <x:t xml:space="preserve">p11:3.1.5</x:t>
        </x:is>
      </x:c>
      <x:c r="B230" t="inlineStr">
        <x:is>
          <x:t xml:space="preserve">Ø 63 mm PPR</x:t>
        </x:is>
      </x:c>
      <x:c r="C230" t="inlineStr">
        <x:is>
          <x:t xml:space="preserve">9.50</x:t>
        </x:is>
      </x:c>
      <x:c r="D230" t="inlineStr">
        <x:is>
          <x:t xml:space="preserve">lm</x:t>
        </x:is>
      </x:c>
      <x:c r="E230" t="inlineStr">
        <x:is>
          <x:t xml:space="preserve">13</x:t>
        </x:is>
      </x:c>
      <x:c r="F230" t="inlineStr">
        <x:is>
          <x:t xml:space="preserve">Covered</x:t>
        </x:is>
      </x:c>
      <x:c r="G230" t="inlineStr">
        <x:is>
          <x:t xml:space="preserve">11</x:t>
        </x:is>
      </x:c>
    </x:row>
    <x:row r="231">
      <x:c r="A231" t="inlineStr">
        <x:is>
          <x:t xml:space="preserve">p11:3.1.6</x:t>
        </x:is>
      </x:c>
      <x:c r="B231" t="inlineStr">
        <x:is>
          <x:t xml:space="preserve">Ø 25 mm PPR UV Protected</x:t>
        </x:is>
      </x:c>
      <x:c r="C231" t="inlineStr">
        <x:is>
          <x:t xml:space="preserve">55.00</x:t>
        </x:is>
      </x:c>
      <x:c r="D231" t="inlineStr">
        <x:is>
          <x:t xml:space="preserve">lm</x:t>
        </x:is>
      </x:c>
      <x:c r="E231" t="inlineStr">
        <x:is>
          <x:t xml:space="preserve">13</x:t>
        </x:is>
      </x:c>
      <x:c r="F231" t="inlineStr">
        <x:is>
          <x:t xml:space="preserve">Covered</x:t>
        </x:is>
      </x:c>
      <x:c r="G231" t="inlineStr">
        <x:is>
          <x:t xml:space="preserve">11</x:t>
        </x:is>
      </x:c>
    </x:row>
    <x:row r="232">
      <x:c r="A232" t="inlineStr">
        <x:is>
          <x:t xml:space="preserve">p11:3.1.7</x:t>
        </x:is>
      </x:c>
      <x:c r="B232" t="inlineStr">
        <x:is>
          <x:t xml:space="preserve">Ø 32 mm PPR UV Protected</x:t>
        </x:is>
      </x:c>
      <x:c r="C232" t="inlineStr">
        <x:is>
          <x:t xml:space="preserve">1.00</x:t>
        </x:is>
      </x:c>
      <x:c r="D232" t="inlineStr">
        <x:is>
          <x:t xml:space="preserve">lm</x:t>
        </x:is>
      </x:c>
      <x:c r="E232" t="inlineStr">
        <x:is>
          <x:t xml:space="preserve">13</x:t>
        </x:is>
      </x:c>
      <x:c r="F232" t="inlineStr">
        <x:is>
          <x:t xml:space="preserve">Covered</x:t>
        </x:is>
      </x:c>
      <x:c r="G232" t="inlineStr">
        <x:is>
          <x:t xml:space="preserve">11</x:t>
        </x:is>
      </x:c>
    </x:row>
    <x:row r="233">
      <x:c r="A233" t="inlineStr">
        <x:is>
          <x:t xml:space="preserve">p11:3.1.8</x:t>
        </x:is>
      </x:c>
      <x:c r="B233" t="inlineStr">
        <x:is>
          <x:t xml:space="preserve">Ø 40 mm PPR UV Protected</x:t>
        </x:is>
      </x:c>
      <x:c r="C233" t="inlineStr">
        <x:is>
          <x:t xml:space="preserve">21.00</x:t>
        </x:is>
      </x:c>
      <x:c r="D233" t="inlineStr">
        <x:is>
          <x:t xml:space="preserve">lm</x:t>
        </x:is>
      </x:c>
      <x:c r="E233" t="inlineStr">
        <x:is>
          <x:t xml:space="preserve">13</x:t>
        </x:is>
      </x:c>
      <x:c r="F233" t="inlineStr">
        <x:is>
          <x:t xml:space="preserve">Covered</x:t>
        </x:is>
      </x:c>
      <x:c r="G233" t="inlineStr">
        <x:is>
          <x:t xml:space="preserve">11</x:t>
        </x:is>
      </x:c>
    </x:row>
    <x:row r="234">
      <x:c r="A234" t="inlineStr">
        <x:is>
          <x:t xml:space="preserve">p11:3.2.1</x:t>
        </x:is>
      </x:c>
      <x:c r="B234" t="inlineStr">
        <x:is>
          <x:t xml:space="preserve">Ø 25 mm HDPE</x:t>
        </x:is>
      </x:c>
      <x:c r="C234" t="inlineStr">
        <x:is>
          <x:t xml:space="preserve">8.50</x:t>
        </x:is>
      </x:c>
      <x:c r="D234" t="inlineStr">
        <x:is>
          <x:t xml:space="preserve">lm</x:t>
        </x:is>
      </x:c>
      <x:c r="E234" t="inlineStr">
        <x:is>
          <x:t xml:space="preserve">13</x:t>
        </x:is>
      </x:c>
      <x:c r="F234" t="inlineStr">
        <x:is>
          <x:t xml:space="preserve">Covered</x:t>
        </x:is>
      </x:c>
      <x:c r="G234" t="inlineStr">
        <x:is>
          <x:t xml:space="preserve">11</x:t>
        </x:is>
      </x:c>
    </x:row>
    <x:row r="235">
      <x:c r="A235" t="inlineStr">
        <x:is>
          <x:t xml:space="preserve">p11:3.2.2</x:t>
        </x:is>
      </x:c>
      <x:c r="B235" t="inlineStr">
        <x:is>
          <x:t xml:space="preserve">Ø 32 mm HDPE</x:t>
        </x:is>
      </x:c>
      <x:c r="C235" t="inlineStr">
        <x:is>
          <x:t xml:space="preserve">50.00</x:t>
        </x:is>
      </x:c>
      <x:c r="D235" t="inlineStr">
        <x:is>
          <x:t xml:space="preserve">lm</x:t>
        </x:is>
      </x:c>
      <x:c r="E235" t="inlineStr">
        <x:is>
          <x:t xml:space="preserve">13</x:t>
        </x:is>
      </x:c>
      <x:c r="F235" t="inlineStr">
        <x:is>
          <x:t xml:space="preserve">Covered</x:t>
        </x:is>
      </x:c>
      <x:c r="G235" t="inlineStr">
        <x:is>
          <x:t xml:space="preserve">11</x:t>
        </x:is>
      </x:c>
    </x:row>
    <x:row r="236">
      <x:c r="A236" t="inlineStr">
        <x:is>
          <x:t xml:space="preserve">p11:3.2.3</x:t>
        </x:is>
      </x:c>
      <x:c r="B236" t="inlineStr">
        <x:is>
          <x:t xml:space="preserve">Ø 40 mm HDPE</x:t>
        </x:is>
      </x:c>
      <x:c r="C236" t="inlineStr">
        <x:is>
          <x:t xml:space="preserve">124.00</x:t>
        </x:is>
      </x:c>
      <x:c r="D236" t="inlineStr">
        <x:is>
          <x:t xml:space="preserve">lm</x:t>
        </x:is>
      </x:c>
      <x:c r="E236" t="inlineStr">
        <x:is>
          <x:t xml:space="preserve">13</x:t>
        </x:is>
      </x:c>
      <x:c r="F236" t="inlineStr">
        <x:is>
          <x:t xml:space="preserve">Covered</x:t>
        </x:is>
      </x:c>
      <x:c r="G236" t="inlineStr">
        <x:is>
          <x:t xml:space="preserve">11</x:t>
        </x:is>
      </x:c>
    </x:row>
    <x:row r="237">
      <x:c r="A237" t="inlineStr">
        <x:is>
          <x:t xml:space="preserve">p11:3.2.4</x:t>
        </x:is>
      </x:c>
      <x:c r="B237" t="inlineStr">
        <x:is>
          <x:t xml:space="preserve">Ø 63mm HDPE</x:t>
        </x:is>
      </x:c>
      <x:c r="C237" t="inlineStr">
        <x:is>
          <x:t xml:space="preserve">128.00</x:t>
        </x:is>
      </x:c>
      <x:c r="D237" t="inlineStr">
        <x:is>
          <x:t xml:space="preserve">lm</x:t>
        </x:is>
      </x:c>
      <x:c r="E237" t="inlineStr">
        <x:is>
          <x:t xml:space="preserve">13</x:t>
        </x:is>
      </x:c>
      <x:c r="F237" t="inlineStr">
        <x:is>
          <x:t xml:space="preserve">Covered</x:t>
        </x:is>
      </x:c>
      <x:c r="G237" t="inlineStr">
        <x:is>
          <x:t xml:space="preserve">11</x:t>
        </x:is>
      </x:c>
    </x:row>
    <x:row r="238">
      <x:c r="A238" t="inlineStr">
        <x:is>
          <x:t xml:space="preserve">p11:3.3.1.1</x:t>
        </x:is>
      </x:c>
      <x:c r="B238" t="inlineStr">
        <x:is>
          <x:t xml:space="preserve">Ø 25 mm</x:t>
        </x:is>
      </x:c>
      <x:c r="C238" t="inlineStr">
        <x:is>
          <x:t xml:space="preserve">246.00</x:t>
        </x:is>
      </x:c>
      <x:c r="D238" t="inlineStr">
        <x:is>
          <x:t xml:space="preserve">Lm</x:t>
        </x:is>
      </x:c>
      <x:c r="E238" t="inlineStr">
        <x:is>
          <x:t xml:space="preserve">13</x:t>
        </x:is>
      </x:c>
      <x:c r="F238" t="inlineStr">
        <x:is>
          <x:t xml:space="preserve">Covered</x:t>
        </x:is>
      </x:c>
      <x:c r="G238" t="inlineStr">
        <x:is>
          <x:t xml:space="preserve">11</x:t>
        </x:is>
      </x:c>
    </x:row>
    <x:row r="239">
      <x:c r="A239" t="inlineStr">
        <x:is>
          <x:t xml:space="preserve">p11:3.3.1.2</x:t>
        </x:is>
      </x:c>
      <x:c r="B239" t="inlineStr">
        <x:is>
          <x:t xml:space="preserve">Ø 32 mm</x:t>
        </x:is>
      </x:c>
      <x:c r="C239" t="inlineStr">
        <x:is>
          <x:t xml:space="preserve">243.00</x:t>
        </x:is>
      </x:c>
      <x:c r="D239" t="inlineStr">
        <x:is>
          <x:t xml:space="preserve">Lm</x:t>
        </x:is>
      </x:c>
      <x:c r="E239" t="inlineStr">
        <x:is>
          <x:t xml:space="preserve">13</x:t>
        </x:is>
      </x:c>
      <x:c r="F239" t="inlineStr">
        <x:is>
          <x:t xml:space="preserve">Covered</x:t>
        </x:is>
      </x:c>
      <x:c r="G239" t="inlineStr">
        <x:is>
          <x:t xml:space="preserve">11</x:t>
        </x:is>
      </x:c>
    </x:row>
    <x:row r="240">
      <x:c r="A240" t="inlineStr">
        <x:is>
          <x:t xml:space="preserve">p12:3.3.1.3</x:t>
        </x:is>
      </x:c>
      <x:c r="B240" t="inlineStr">
        <x:is>
          <x:t xml:space="preserve">Ø 40 mm</x:t>
        </x:is>
      </x:c>
      <x:c r="C240" t="inlineStr">
        <x:is>
          <x:t xml:space="preserve">192.00</x:t>
        </x:is>
      </x:c>
      <x:c r="D240" t="inlineStr">
        <x:is>
          <x:t xml:space="preserve">Lm</x:t>
        </x:is>
      </x:c>
      <x:c r="E240" t="inlineStr">
        <x:is>
          <x:t xml:space="preserve">13</x:t>
        </x:is>
      </x:c>
      <x:c r="F240" t="inlineStr">
        <x:is>
          <x:t xml:space="preserve">Covered</x:t>
        </x:is>
      </x:c>
      <x:c r="G240" t="inlineStr">
        <x:is>
          <x:t xml:space="preserve">12</x:t>
        </x:is>
      </x:c>
    </x:row>
    <x:row r="241">
      <x:c r="A241" t="inlineStr">
        <x:is>
          <x:t xml:space="preserve">p12:3.3.1.4</x:t>
        </x:is>
      </x:c>
      <x:c r="B241" t="inlineStr">
        <x:is>
          <x:t xml:space="preserve">Ø 50 mm</x:t>
        </x:is>
      </x:c>
      <x:c r="C241" t="inlineStr">
        <x:is>
          <x:t xml:space="preserve">9.50</x:t>
        </x:is>
      </x:c>
      <x:c r="D241" t="inlineStr">
        <x:is>
          <x:t xml:space="preserve">Lm</x:t>
        </x:is>
      </x:c>
      <x:c r="E241" t="inlineStr">
        <x:is>
          <x:t xml:space="preserve">13</x:t>
        </x:is>
      </x:c>
      <x:c r="F241" t="inlineStr">
        <x:is>
          <x:t xml:space="preserve">Covered</x:t>
        </x:is>
      </x:c>
      <x:c r="G241" t="inlineStr">
        <x:is>
          <x:t xml:space="preserve">12</x:t>
        </x:is>
      </x:c>
    </x:row>
    <x:row r="242">
      <x:c r="A242" t="inlineStr">
        <x:is>
          <x:t xml:space="preserve">p12:3.3.1.5</x:t>
        </x:is>
      </x:c>
      <x:c r="B242" t="inlineStr">
        <x:is>
          <x:t xml:space="preserve">Ø 63 mm</x:t>
        </x:is>
      </x:c>
      <x:c r="C242" t="inlineStr">
        <x:is>
          <x:t xml:space="preserve">138.00</x:t>
        </x:is>
      </x:c>
      <x:c r="D242" t="inlineStr">
        <x:is>
          <x:t xml:space="preserve">Lm</x:t>
        </x:is>
      </x:c>
      <x:c r="E242" t="inlineStr">
        <x:is>
          <x:t xml:space="preserve">13</x:t>
        </x:is>
      </x:c>
      <x:c r="F242" t="inlineStr">
        <x:is>
          <x:t xml:space="preserve">Covered</x:t>
        </x:is>
      </x:c>
      <x:c r="G242" t="inlineStr">
        <x:is>
          <x:t xml:space="preserve">12</x:t>
        </x:is>
      </x:c>
    </x:row>
    <x:row r="243">
      <x:c r="A243" t="inlineStr">
        <x:is>
          <x:t xml:space="preserve">p12:3.4.1</x:t>
        </x:is>
      </x:c>
      <x:c r="B243" t="inlineStr">
        <x:is>
          <x:t xml:space="preserve">EWH (400L)</x:t>
        </x:is>
      </x:c>
      <x:c r="C243" t="inlineStr">
        <x:is>
          <x:t xml:space="preserve">2.00</x:t>
        </x:is>
      </x:c>
      <x:c r="D243" t="inlineStr">
        <x:is>
          <x:t xml:space="preserve">No</x:t>
        </x:is>
      </x:c>
      <x:c r="E243" t="inlineStr">
        <x:is>
          <x:t xml:space="preserve">13</x:t>
        </x:is>
      </x:c>
      <x:c r="F243" t="inlineStr">
        <x:is>
          <x:t xml:space="preserve">Covered</x:t>
        </x:is>
      </x:c>
      <x:c r="G243" t="inlineStr">
        <x:is>
          <x:t xml:space="preserve">12</x:t>
        </x:is>
      </x:c>
    </x:row>
    <x:row r="244">
      <x:c r="A244" t="inlineStr">
        <x:is>
          <x:t xml:space="preserve">p12:3.5.1</x:t>
        </x:is>
      </x:c>
      <x:c r="B244" t="inlineStr">
        <x:is>
          <x:t xml:space="preserve">Hose Bib 25mm Inlet</x:t>
        </x:is>
      </x:c>
      <x:c r="C244" t="inlineStr">
        <x:is>
          <x:t xml:space="preserve">1.00</x:t>
        </x:is>
      </x:c>
      <x:c r="D244" t="inlineStr">
        <x:is>
          <x:t xml:space="preserve">No.</x:t>
        </x:is>
      </x:c>
      <x:c r="E244" t="inlineStr">
        <x:is>
          <x:t xml:space="preserve">13</x:t>
        </x:is>
      </x:c>
      <x:c r="F244" t="inlineStr">
        <x:is>
          <x:t xml:space="preserve">Covered</x:t>
        </x:is>
      </x:c>
      <x:c r="G244" t="inlineStr">
        <x:is>
          <x:t xml:space="preserve">12</x:t>
        </x:is>
      </x:c>
    </x:row>
    <x:row r="245">
      <x:c r="A245" t="inlineStr">
        <x:is>
          <x:t xml:space="preserve">p12:3.5.2</x:t>
        </x:is>
      </x:c>
      <x:c r="B245" t="inlineStr">
        <x:is>
          <x:t xml:space="preserve">Hose Bib 32mm Inlet</x:t>
        </x:is>
      </x:c>
      <x:c r="C245" t="inlineStr">
        <x:is>
          <x:t xml:space="preserve">7.00</x:t>
        </x:is>
      </x:c>
      <x:c r="D245" t="inlineStr">
        <x:is>
          <x:t xml:space="preserve">No.</x:t>
        </x:is>
      </x:c>
      <x:c r="E245" t="inlineStr">
        <x:is>
          <x:t xml:space="preserve">13</x:t>
        </x:is>
      </x:c>
      <x:c r="F245" t="inlineStr">
        <x:is>
          <x:t xml:space="preserve">Covered</x:t>
        </x:is>
      </x:c>
      <x:c r="G245" t="inlineStr">
        <x:is>
          <x:t xml:space="preserve">12</x:t>
        </x:is>
      </x:c>
    </x:row>
    <x:row r="246">
      <x:c r="A246" t="inlineStr">
        <x:is>
          <x:t xml:space="preserve">p12:3.7.1</x:t>
        </x:is>
      </x:c>
      <x:c r="B246" t="inlineStr">
        <x:is>
          <x:t xml:space="preserve">GRP Tank Capacity 24,000L (3.1x2.6x3m)</x:t>
        </x:is>
      </x:c>
      <x:c r="C246" t="inlineStr">
        <x:is>
          <x:t xml:space="preserve">1.00</x:t>
        </x:is>
      </x:c>
      <x:c r="D246" t="inlineStr">
        <x:is>
          <x:t xml:space="preserve">No.</x:t>
        </x:is>
      </x:c>
      <x:c r="E246" t="inlineStr">
        <x:is>
          <x:t xml:space="preserve">13</x:t>
        </x:is>
      </x:c>
      <x:c r="F246" t="inlineStr">
        <x:is>
          <x:t xml:space="preserve">Covered</x:t>
        </x:is>
      </x:c>
      <x:c r="G246" t="inlineStr">
        <x:is>
          <x:t xml:space="preserve">12</x:t>
        </x:is>
      </x:c>
    </x:row>
    <x:row r="247">
      <x:c r="A247" t="inlineStr">
        <x:is>
          <x:t xml:space="preserve">p12:3.8</x:t>
        </x:is>
      </x:c>
      <x:c r="B247" t="inlineStr">
        <x:is>
          <x:t xml:space="preserve">Solar Water Heating System</x:t>
        </x:is>
      </x:c>
      <x:c r="C247" t="inlineStr">
        <x:is>
          <x:t xml:space="preserve">1.00</x:t>
        </x:is>
      </x:c>
      <x:c r="D247" t="inlineStr">
        <x:is>
          <x:t xml:space="preserve">No.</x:t>
        </x:is>
      </x:c>
      <x:c r="E247" t="inlineStr">
        <x:is>
          <x:t xml:space="preserve">13</x:t>
        </x:is>
      </x:c>
      <x:c r="F247" t="inlineStr">
        <x:is>
          <x:t xml:space="preserve">Covered</x:t>
        </x:is>
      </x:c>
      <x:c r="G247" t="inlineStr">
        <x:is>
          <x:t xml:space="preserve">12</x:t>
        </x:is>
      </x:c>
    </x:row>
    <x:row r="248">
      <x:c r="A248" t="inlineStr">
        <x:is>
          <x:t xml:space="preserve">p12:3.9</x:t>
        </x:is>
      </x:c>
      <x:c r="B248" t="inlineStr">
        <x:is>
          <x:t xml:space="preserve">Connection to Existing Network</x:t>
        </x:is>
      </x:c>
      <x:c r="C248" t="inlineStr">
        <x:is>
          <x:t xml:space="preserve">1.00</x:t>
        </x:is>
      </x:c>
      <x:c r="D248" t="inlineStr">
        <x:is>
          <x:t xml:space="preserve">Item</x:t>
        </x:is>
      </x:c>
      <x:c r="E248" t="inlineStr">
        <x:is>
          <x:t xml:space="preserve">13</x:t>
        </x:is>
      </x:c>
      <x:c r="F248" t="inlineStr">
        <x:is>
          <x:t xml:space="preserve">Covered</x:t>
        </x:is>
      </x:c>
      <x:c r="G248" t="inlineStr">
        <x:is>
          <x:t xml:space="preserve">12</x:t>
        </x:is>
      </x:c>
    </x:row>
    <x:row r="249">
      <x:c r="A249" t="inlineStr">
        <x:is>
          <x:t xml:space="preserve">p12:4.1.1</x:t>
        </x:is>
      </x:c>
      <x:c r="B249" t="inlineStr">
        <x:is>
          <x:t xml:space="preserve">Pipe, diameter 25mm</x:t>
        </x:is>
      </x:c>
      <x:c r="C249" t="inlineStr">
        <x:is>
          <x:t xml:space="preserve">14.00</x:t>
        </x:is>
      </x:c>
      <x:c r="D249" t="inlineStr">
        <x:is>
          <x:t xml:space="preserve">lm</x:t>
        </x:is>
      </x:c>
      <x:c r="E249" t="inlineStr">
        <x:is>
          <x:t xml:space="preserve">23</x:t>
        </x:is>
      </x:c>
      <x:c r="F249" t="inlineStr">
        <x:is>
          <x:t xml:space="preserve">Covered</x:t>
        </x:is>
      </x:c>
      <x:c r="G249" t="inlineStr">
        <x:is>
          <x:t xml:space="preserve">12</x:t>
        </x:is>
      </x:c>
    </x:row>
    <x:row r="250">
      <x:c r="A250" t="inlineStr">
        <x:is>
          <x:t xml:space="preserve">p12:4.1.2</x:t>
        </x:is>
      </x:c>
      <x:c r="B250" t="inlineStr">
        <x:is>
          <x:t xml:space="preserve">Pipe, diameter 32mm</x:t>
        </x:is>
      </x:c>
      <x:c r="C250" t="inlineStr">
        <x:is>
          <x:t xml:space="preserve">9.50</x:t>
        </x:is>
      </x:c>
      <x:c r="D250" t="inlineStr">
        <x:is>
          <x:t xml:space="preserve">lm</x:t>
        </x:is>
      </x:c>
      <x:c r="E250" t="inlineStr">
        <x:is>
          <x:t xml:space="preserve">23</x:t>
        </x:is>
      </x:c>
      <x:c r="F250" t="inlineStr">
        <x:is>
          <x:t xml:space="preserve">Covered</x:t>
        </x:is>
      </x:c>
      <x:c r="G250" t="inlineStr">
        <x:is>
          <x:t xml:space="preserve">12</x:t>
        </x:is>
      </x:c>
    </x:row>
    <x:row r="251">
      <x:c r="A251" t="inlineStr">
        <x:is>
          <x:t xml:space="preserve">p12:4.1.3</x:t>
        </x:is>
      </x:c>
      <x:c r="B251" t="inlineStr">
        <x:is>
          <x:t xml:space="preserve">Pipe, diameter 50mm</x:t>
        </x:is>
      </x:c>
      <x:c r="C251" t="inlineStr">
        <x:is>
          <x:t xml:space="preserve">41.00</x:t>
        </x:is>
      </x:c>
      <x:c r="D251" t="inlineStr">
        <x:is>
          <x:t xml:space="preserve">lm</x:t>
        </x:is>
      </x:c>
      <x:c r="E251" t="inlineStr">
        <x:is>
          <x:t xml:space="preserve">23</x:t>
        </x:is>
      </x:c>
      <x:c r="F251" t="inlineStr">
        <x:is>
          <x:t xml:space="preserve">Covered</x:t>
        </x:is>
      </x:c>
      <x:c r="G251" t="inlineStr">
        <x:is>
          <x:t xml:space="preserve">12</x:t>
        </x:is>
      </x:c>
    </x:row>
    <x:row r="252">
      <x:c r="A252" t="inlineStr">
        <x:is>
          <x:t xml:space="preserve">p12:4.1.4</x:t>
        </x:is>
      </x:c>
      <x:c r="B252" t="inlineStr">
        <x:is>
          <x:t xml:space="preserve">Tanker Fill, 50mm</x:t>
        </x:is>
      </x:c>
      <x:c r="C252" t="inlineStr">
        <x:is>
          <x:t xml:space="preserve">1.00</x:t>
        </x:is>
      </x:c>
      <x:c r="D252" t="inlineStr">
        <x:is>
          <x:t xml:space="preserve">No.</x:t>
        </x:is>
      </x:c>
      <x:c r="E252" t="inlineStr">
        <x:is>
          <x:t xml:space="preserve">23</x:t>
        </x:is>
      </x:c>
      <x:c r="F252" t="inlineStr">
        <x:is>
          <x:t xml:space="preserve">Covered</x:t>
        </x:is>
      </x:c>
      <x:c r="G252" t="inlineStr">
        <x:is>
          <x:t xml:space="preserve">12</x:t>
        </x:is>
      </x:c>
    </x:row>
    <x:row r="253">
      <x:c r="A253" t="inlineStr">
        <x:is>
          <x:t xml:space="preserve">p12:4.2.1</x:t>
        </x:is>
      </x:c>
      <x:c r="B253" t="inlineStr">
        <x:is>
          <x:t xml:space="preserve">Tank Capacity 2500L (1.25x1x2m) 3mm steel thickness for new generator &amp;</x:t>
        </x:is>
      </x:c>
      <x:c r="C253" t="inlineStr">
        <x:is>
          <x:t xml:space="preserve">1.00</x:t>
        </x:is>
      </x:c>
      <x:c r="D253" t="inlineStr">
        <x:is>
          <x:t xml:space="preserve">No.</x:t>
        </x:is>
      </x:c>
      <x:c r="E253" t="inlineStr">
        <x:is>
          <x:t xml:space="preserve">23</x:t>
        </x:is>
      </x:c>
      <x:c r="F253" t="inlineStr">
        <x:is>
          <x:t xml:space="preserve">Covered</x:t>
        </x:is>
      </x:c>
      <x:c r="G253" t="inlineStr">
        <x:is>
          <x:t xml:space="preserve">12</x:t>
        </x:is>
      </x:c>
    </x:row>
    <x:row r="254">
      <x:c r="A254" t="inlineStr">
        <x:is>
          <x:t xml:space="preserve">p12:4.2.2</x:t>
        </x:is>
      </x:c>
      <x:c r="B254" t="inlineStr">
        <x:is>
          <x:t xml:space="preserve">Tank Capacity 4000L (2x1x2m) 4mm steel thickness for existing generator</x:t>
        </x:is>
      </x:c>
      <x:c r="C254" t="inlineStr">
        <x:is>
          <x:t xml:space="preserve">1.00</x:t>
        </x:is>
      </x:c>
      <x:c r="D254" t="inlineStr">
        <x:is>
          <x:t xml:space="preserve">No.</x:t>
        </x:is>
      </x:c>
      <x:c r="E254" t="inlineStr">
        <x:is>
          <x:t xml:space="preserve">23</x:t>
        </x:is>
      </x:c>
      <x:c r="F254" t="inlineStr">
        <x:is>
          <x:t xml:space="preserve">Covered</x:t>
        </x:is>
      </x:c>
      <x:c r="G254" t="inlineStr">
        <x:is>
          <x:t xml:space="preserve">12</x:t>
        </x:is>
      </x:c>
    </x:row>
    <x:row r="255">
      <x:c r="A255" t="inlineStr">
        <x:is>
          <x:t xml:space="preserve">p12:4.3.1</x:t>
        </x:is>
      </x:c>
      <x:c r="B255" t="inlineStr">
        <x:is>
          <x:t xml:space="preserve">Gear Pump, (10 L/hr, 17m)</x:t>
        </x:is>
      </x:c>
      <x:c r="C255" t="inlineStr">
        <x:is>
          <x:t xml:space="preserve">1.00</x:t>
        </x:is>
      </x:c>
      <x:c r="D255" t="inlineStr">
        <x:is>
          <x:t xml:space="preserve">Set</x:t>
        </x:is>
      </x:c>
      <x:c r="E255" t="inlineStr">
        <x:is>
          <x:t xml:space="preserve">23</x:t>
        </x:is>
      </x:c>
      <x:c r="F255" t="inlineStr">
        <x:is>
          <x:t xml:space="preserve">Covered</x:t>
        </x:is>
      </x:c>
      <x:c r="G255" t="inlineStr">
        <x:is>
          <x:t xml:space="preserve">12</x:t>
        </x:is>
      </x:c>
    </x:row>
    <x:row r="256">
      <x:c r="A256" t="inlineStr">
        <x:is>
          <x:t xml:space="preserve">p12:4.4</x:t>
        </x:is>
      </x:c>
      <x:c r="B256" t="inlineStr">
        <x:is>
          <x:t xml:space="preserve">Spare Pumps</x:t>
        </x:is>
      </x:c>
      <x:c r="C256" t="inlineStr">
        <x:is>
          <x:t xml:space="preserve">1.00</x:t>
        </x:is>
      </x:c>
      <x:c r="D256" t="inlineStr">
        <x:is>
          <x:t xml:space="preserve">Item</x:t>
        </x:is>
      </x:c>
      <x:c r="E256" t="inlineStr">
        <x:is>
          <x:t xml:space="preserve">23</x:t>
        </x:is>
      </x:c>
      <x:c r="F256" t="inlineStr">
        <x:is>
          <x:t xml:space="preserve">Covered</x:t>
        </x:is>
      </x:c>
      <x:c r="G256" t="inlineStr">
        <x:is>
          <x:t xml:space="preserve">12</x:t>
        </x:is>
      </x:c>
    </x:row>
    <x:row r="257">
      <x:c r="A257" t="inlineStr">
        <x:is>
          <x:t xml:space="preserve">p12:4.5</x:t>
        </x:is>
      </x:c>
      <x:c r="B257" t="inlineStr">
        <x:is>
          <x:t xml:space="preserve">Spill Kit</x:t>
        </x:is>
      </x:c>
      <x:c r="C257" t="inlineStr">
        <x:is>
          <x:t xml:space="preserve">1.00</x:t>
        </x:is>
      </x:c>
      <x:c r="D257" t="inlineStr">
        <x:is>
          <x:t xml:space="preserve">Item</x:t>
        </x:is>
      </x:c>
      <x:c r="E257" t="inlineStr">
        <x:is>
          <x:t xml:space="preserve">23</x:t>
        </x:is>
      </x:c>
      <x:c r="F257" t="inlineStr">
        <x:is>
          <x:t xml:space="preserve">Covered</x:t>
        </x:is>
      </x:c>
      <x:c r="G257" t="inlineStr">
        <x:is>
          <x:t xml:space="preserve">12</x:t>
        </x:is>
      </x:c>
    </x:row>
    <x:row r="258">
      <x:c r="A258" t="inlineStr">
        <x:is>
          <x:t xml:space="preserve">p12:4.6</x:t>
        </x:is>
      </x:c>
      <x:c r="B258" t="inlineStr">
        <x:is>
          <x:t xml:space="preserve">Personal Protective Equipment PPE Kit</x:t>
        </x:is>
      </x:c>
      <x:c r="C258" t="inlineStr">
        <x:is>
          <x:t xml:space="preserve">1.00</x:t>
        </x:is>
      </x:c>
      <x:c r="D258" t="inlineStr">
        <x:is>
          <x:t xml:space="preserve">Item</x:t>
        </x:is>
      </x:c>
      <x:c r="E258" t="inlineStr">
        <x:is>
          <x:t xml:space="preserve">23</x:t>
        </x:is>
      </x:c>
      <x:c r="F258" t="inlineStr">
        <x:is>
          <x:t xml:space="preserve">Covered</x:t>
        </x:is>
      </x:c>
      <x:c r="G258" t="inlineStr">
        <x:is>
          <x:t xml:space="preserve">12</x:t>
        </x:is>
      </x:c>
    </x:row>
    <x:row r="259">
      <x:c r="A259" t="inlineStr">
        <x:is>
          <x:t xml:space="preserve">p12:5.1</x:t>
        </x:is>
      </x:c>
      <x:c r="B259" t="inlineStr">
        <x:is>
          <x:t xml:space="preserve">Duct Work</x:t>
        </x:is>
      </x:c>
      <x:c r="C259" t="inlineStr">
        <x:is>
          <x:t xml:space="preserve">1155.00</x:t>
        </x:is>
      </x:c>
      <x:c r="D259" t="inlineStr">
        <x:is>
          <x:t xml:space="preserve">kg</x:t>
        </x:is>
      </x:c>
      <x:c r="E259" t="inlineStr">
        <x:is>
          <x:t xml:space="preserve">13</x:t>
        </x:is>
      </x:c>
      <x:c r="F259" t="inlineStr">
        <x:is>
          <x:t xml:space="preserve">Covered</x:t>
        </x:is>
      </x:c>
      <x:c r="G259" t="inlineStr">
        <x:is>
          <x:t xml:space="preserve">12</x:t>
        </x:is>
      </x:c>
    </x:row>
    <x:row r="260">
      <x:c r="A260" t="inlineStr">
        <x:is>
          <x:t xml:space="preserve">p12:5.2.1.1</x:t>
        </x:is>
      </x:c>
      <x:c r="B260" t="inlineStr">
        <x:is>
          <x:t xml:space="preserve">FAF-01 1500 CFM</x:t>
        </x:is>
      </x:c>
      <x:c r="C260" t="inlineStr">
        <x:is>
          <x:t xml:space="preserve">1.00</x:t>
        </x:is>
      </x:c>
      <x:c r="D260" t="inlineStr">
        <x:is>
          <x:t xml:space="preserve">No.</x:t>
        </x:is>
      </x:c>
      <x:c r="E260" t="inlineStr">
        <x:is>
          <x:t xml:space="preserve">13</x:t>
        </x:is>
      </x:c>
      <x:c r="F260" t="inlineStr">
        <x:is>
          <x:t xml:space="preserve">Covered</x:t>
        </x:is>
      </x:c>
      <x:c r="G260" t="inlineStr">
        <x:is>
          <x:t xml:space="preserve">12</x:t>
        </x:is>
      </x:c>
    </x:row>
    <x:row r="261">
      <x:c r="A261" t="inlineStr">
        <x:is>
          <x:t xml:space="preserve">p12:5.2.1.2</x:t>
        </x:is>
      </x:c>
      <x:c r="B261" t="inlineStr">
        <x:is>
          <x:t xml:space="preserve">FAF-02 1950 CFM</x:t>
        </x:is>
      </x:c>
      <x:c r="C261" t="inlineStr">
        <x:is>
          <x:t xml:space="preserve">2.00</x:t>
        </x:is>
      </x:c>
      <x:c r="D261" t="inlineStr">
        <x:is>
          <x:t xml:space="preserve">No.</x:t>
        </x:is>
      </x:c>
      <x:c r="E261" t="inlineStr">
        <x:is>
          <x:t xml:space="preserve">13</x:t>
        </x:is>
      </x:c>
      <x:c r="F261" t="inlineStr">
        <x:is>
          <x:t xml:space="preserve">Covered</x:t>
        </x:is>
      </x:c>
      <x:c r="G261" t="inlineStr">
        <x:is>
          <x:t xml:space="preserve">12</x:t>
        </x:is>
      </x:c>
    </x:row>
    <x:row r="262">
      <x:c r="A262" t="inlineStr">
        <x:is>
          <x:t xml:space="preserve">p12:5.2.1.3</x:t>
        </x:is>
      </x:c>
      <x:c r="B262" t="inlineStr">
        <x:is>
          <x:t xml:space="preserve">FAF-03 860 CFM</x:t>
        </x:is>
      </x:c>
      <x:c r="C262" t="inlineStr">
        <x:is>
          <x:t xml:space="preserve">1.00</x:t>
        </x:is>
      </x:c>
      <x:c r="D262" t="inlineStr">
        <x:is>
          <x:t xml:space="preserve">No.</x:t>
        </x:is>
      </x:c>
      <x:c r="E262" t="inlineStr">
        <x:is>
          <x:t xml:space="preserve">13</x:t>
        </x:is>
      </x:c>
      <x:c r="F262" t="inlineStr">
        <x:is>
          <x:t xml:space="preserve">Covered</x:t>
        </x:is>
      </x:c>
      <x:c r="G262" t="inlineStr">
        <x:is>
          <x:t xml:space="preserve">12</x:t>
        </x:is>
      </x:c>
    </x:row>
    <x:row r="263">
      <x:c r="A263" t="inlineStr">
        <x:is>
          <x:t xml:space="preserve">p12:5.2.1.4</x:t>
        </x:is>
      </x:c>
      <x:c r="B263" t="inlineStr">
        <x:is>
          <x:t xml:space="preserve">FAF-04 300 CFM</x:t>
        </x:is>
      </x:c>
      <x:c r="C263" t="inlineStr">
        <x:is>
          <x:t xml:space="preserve">1.00</x:t>
        </x:is>
      </x:c>
      <x:c r="D263" t="inlineStr">
        <x:is>
          <x:t xml:space="preserve">No.</x:t>
        </x:is>
      </x:c>
      <x:c r="E263" t="inlineStr">
        <x:is>
          <x:t xml:space="preserve">13</x:t>
        </x:is>
      </x:c>
      <x:c r="F263" t="inlineStr">
        <x:is>
          <x:t xml:space="preserve">Covered</x:t>
        </x:is>
      </x:c>
      <x:c r="G263" t="inlineStr">
        <x:is>
          <x:t xml:space="preserve">12</x:t>
        </x:is>
      </x:c>
    </x:row>
    <x:row r="264">
      <x:c r="A264" t="inlineStr">
        <x:is>
          <x:t xml:space="preserve">p12:5.2.2.1</x:t>
        </x:is>
      </x:c>
      <x:c r="B264" t="inlineStr">
        <x:is>
          <x:t xml:space="preserve">EAF-01 1800 CFM (2 hours fire rated)</x:t>
        </x:is>
      </x:c>
      <x:c r="C264" t="inlineStr">
        <x:is>
          <x:t xml:space="preserve">1.00</x:t>
        </x:is>
      </x:c>
      <x:c r="D264" t="inlineStr">
        <x:is>
          <x:t xml:space="preserve">No.</x:t>
        </x:is>
      </x:c>
      <x:c r="E264" t="inlineStr">
        <x:is>
          <x:t xml:space="preserve">13</x:t>
        </x:is>
      </x:c>
      <x:c r="F264" t="inlineStr">
        <x:is>
          <x:t xml:space="preserve">Covered</x:t>
        </x:is>
      </x:c>
      <x:c r="G264" t="inlineStr">
        <x:is>
          <x:t xml:space="preserve">12</x:t>
        </x:is>
      </x:c>
    </x:row>
    <x:row r="265">
      <x:c r="A265" t="inlineStr">
        <x:is>
          <x:t xml:space="preserve">p12:5.2.2.2</x:t>
        </x:is>
      </x:c>
      <x:c r="B265" t="inlineStr">
        <x:is>
          <x:t xml:space="preserve">EAF-02 2300 CFM (2 hours fire rated)</x:t>
        </x:is>
      </x:c>
      <x:c r="C265" t="inlineStr">
        <x:is>
          <x:t xml:space="preserve">2.00</x:t>
        </x:is>
      </x:c>
      <x:c r="D265" t="inlineStr">
        <x:is>
          <x:t xml:space="preserve">No.</x:t>
        </x:is>
      </x:c>
      <x:c r="E265" t="inlineStr">
        <x:is>
          <x:t xml:space="preserve">13</x:t>
        </x:is>
      </x:c>
      <x:c r="F265" t="inlineStr">
        <x:is>
          <x:t xml:space="preserve">Covered</x:t>
        </x:is>
      </x:c>
      <x:c r="G265" t="inlineStr">
        <x:is>
          <x:t xml:space="preserve">12</x:t>
        </x:is>
      </x:c>
    </x:row>
    <x:row r="266">
      <x:c r="A266" t="inlineStr">
        <x:is>
          <x:t xml:space="preserve">p12:5.2.2.3</x:t>
        </x:is>
      </x:c>
      <x:c r="B266" t="inlineStr">
        <x:is>
          <x:t xml:space="preserve">EAF-03 1000 CFM (2 hours fire rated)</x:t>
        </x:is>
      </x:c>
      <x:c r="C266" t="inlineStr">
        <x:is>
          <x:t xml:space="preserve">1.00</x:t>
        </x:is>
      </x:c>
      <x:c r="D266" t="inlineStr">
        <x:is>
          <x:t xml:space="preserve">No.</x:t>
        </x:is>
      </x:c>
      <x:c r="E266" t="inlineStr">
        <x:is>
          <x:t xml:space="preserve">13</x:t>
        </x:is>
      </x:c>
      <x:c r="F266" t="inlineStr">
        <x:is>
          <x:t xml:space="preserve">Covered</x:t>
        </x:is>
      </x:c>
      <x:c r="G266" t="inlineStr">
        <x:is>
          <x:t xml:space="preserve">12</x:t>
        </x:is>
      </x:c>
    </x:row>
    <x:row r="267">
      <x:c r="A267" t="inlineStr">
        <x:is>
          <x:t xml:space="preserve">p12:5.2.2.4</x:t>
        </x:is>
      </x:c>
      <x:c r="B267" t="inlineStr">
        <x:is>
          <x:t xml:space="preserve">EAF-04 350 CFM (2 hours fire rated)</x:t>
        </x:is>
      </x:c>
      <x:c r="C267" t="inlineStr">
        <x:is>
          <x:t xml:space="preserve">1.00</x:t>
        </x:is>
      </x:c>
      <x:c r="D267" t="inlineStr">
        <x:is>
          <x:t xml:space="preserve">No.</x:t>
        </x:is>
      </x:c>
      <x:c r="E267" t="inlineStr">
        <x:is>
          <x:t xml:space="preserve">13</x:t>
        </x:is>
      </x:c>
      <x:c r="F267" t="inlineStr">
        <x:is>
          <x:t xml:space="preserve">Covered</x:t>
        </x:is>
      </x:c>
      <x:c r="G267" t="inlineStr">
        <x:is>
          <x:t xml:space="preserve">12</x:t>
        </x:is>
      </x:c>
    </x:row>
    <x:row r="268">
      <x:c r="A268" t="inlineStr">
        <x:is>
          <x:t xml:space="preserve">p13:5.2.2.5</x:t>
        </x:is>
      </x:c>
      <x:c r="B268" t="inlineStr">
        <x:is>
          <x:t xml:space="preserve">EAF-05 150 CFM</x:t>
        </x:is>
      </x:c>
      <x:c r="C268" t="inlineStr">
        <x:is>
          <x:t xml:space="preserve">1.00</x:t>
        </x:is>
      </x:c>
      <x:c r="D268" t="inlineStr">
        <x:is>
          <x:t xml:space="preserve">No.</x:t>
        </x:is>
      </x:c>
      <x:c r="E268" t="inlineStr">
        <x:is>
          <x:t xml:space="preserve">13</x:t>
        </x:is>
      </x:c>
      <x:c r="F268" t="inlineStr">
        <x:is>
          <x:t xml:space="preserve">Covered</x:t>
        </x:is>
      </x:c>
      <x:c r="G268" t="inlineStr">
        <x:is>
          <x:t xml:space="preserve">13</x:t>
        </x:is>
      </x:c>
    </x:row>
    <x:row r="269">
      <x:c r="A269" t="inlineStr">
        <x:is>
          <x:t xml:space="preserve">p13:5.2.2.6</x:t>
        </x:is>
      </x:c>
      <x:c r="B269" t="inlineStr">
        <x:is>
          <x:t xml:space="preserve">EAF-06 150 CFM</x:t>
        </x:is>
      </x:c>
      <x:c r="C269" t="inlineStr">
        <x:is>
          <x:t xml:space="preserve">1.00</x:t>
        </x:is>
      </x:c>
      <x:c r="D269" t="inlineStr">
        <x:is>
          <x:t xml:space="preserve">No.</x:t>
        </x:is>
      </x:c>
      <x:c r="E269" t="inlineStr">
        <x:is>
          <x:t xml:space="preserve">13</x:t>
        </x:is>
      </x:c>
      <x:c r="F269" t="inlineStr">
        <x:is>
          <x:t xml:space="preserve">Covered</x:t>
        </x:is>
      </x:c>
      <x:c r="G269" t="inlineStr">
        <x:is>
          <x:t xml:space="preserve">13</x:t>
        </x:is>
      </x:c>
    </x:row>
    <x:row r="270">
      <x:c r="A270" t="inlineStr">
        <x:is>
          <x:t xml:space="preserve">p13:5.2.2.7</x:t>
        </x:is>
      </x:c>
      <x:c r="B270" t="inlineStr">
        <x:is>
          <x:t xml:space="preserve">EAF-07 150 CFM</x:t>
        </x:is>
      </x:c>
      <x:c r="C270" t="inlineStr">
        <x:is>
          <x:t xml:space="preserve">1.00</x:t>
        </x:is>
      </x:c>
      <x:c r="D270" t="inlineStr">
        <x:is>
          <x:t xml:space="preserve">No.</x:t>
        </x:is>
      </x:c>
      <x:c r="E270" t="inlineStr">
        <x:is>
          <x:t xml:space="preserve">13</x:t>
        </x:is>
      </x:c>
      <x:c r="F270" t="inlineStr">
        <x:is>
          <x:t xml:space="preserve">Covered</x:t>
        </x:is>
      </x:c>
      <x:c r="G270" t="inlineStr">
        <x:is>
          <x:t xml:space="preserve">13</x:t>
        </x:is>
      </x:c>
    </x:row>
    <x:row r="271">
      <x:c r="A271" t="inlineStr">
        <x:is>
          <x:t xml:space="preserve">p13:5.2.2.8</x:t>
        </x:is>
      </x:c>
      <x:c r="B271" t="inlineStr">
        <x:is>
          <x:t xml:space="preserve">EAF-08 180 CFM</x:t>
        </x:is>
      </x:c>
      <x:c r="C271" t="inlineStr">
        <x:is>
          <x:t xml:space="preserve">1.00</x:t>
        </x:is>
      </x:c>
      <x:c r="D271" t="inlineStr">
        <x:is>
          <x:t xml:space="preserve">No.</x:t>
        </x:is>
      </x:c>
      <x:c r="E271" t="inlineStr">
        <x:is>
          <x:t xml:space="preserve">13</x:t>
        </x:is>
      </x:c>
      <x:c r="F271" t="inlineStr">
        <x:is>
          <x:t xml:space="preserve">Covered</x:t>
        </x:is>
      </x:c>
      <x:c r="G271" t="inlineStr">
        <x:is>
          <x:t xml:space="preserve">13</x:t>
        </x:is>
      </x:c>
    </x:row>
    <x:row r="272">
      <x:c r="A272" t="inlineStr">
        <x:is>
          <x:t xml:space="preserve">p13:5.2.2.9</x:t>
        </x:is>
      </x:c>
      <x:c r="B272" t="inlineStr">
        <x:is>
          <x:t xml:space="preserve">EAF-09 130 CFM</x:t>
        </x:is>
      </x:c>
      <x:c r="C272" t="inlineStr">
        <x:is>
          <x:t xml:space="preserve">1.00</x:t>
        </x:is>
      </x:c>
      <x:c r="D272" t="inlineStr">
        <x:is>
          <x:t xml:space="preserve">No.</x:t>
        </x:is>
      </x:c>
      <x:c r="E272" t="inlineStr">
        <x:is>
          <x:t xml:space="preserve">13</x:t>
        </x:is>
      </x:c>
      <x:c r="F272" t="inlineStr">
        <x:is>
          <x:t xml:space="preserve">Covered</x:t>
        </x:is>
      </x:c>
      <x:c r="G272" t="inlineStr">
        <x:is>
          <x:t xml:space="preserve">13</x:t>
        </x:is>
      </x:c>
    </x:row>
    <x:row r="273">
      <x:c r="A273" t="inlineStr">
        <x:is>
          <x:t xml:space="preserve">p13:5.2.3.1</x:t>
        </x:is>
      </x:c>
      <x:c r="B273" t="inlineStr">
        <x:is>
          <x:t xml:space="preserve">Ceiling Fan (CMF-01) - Dia. 1150 mm</x:t>
        </x:is>
      </x:c>
      <x:c r="C273" t="inlineStr">
        <x:is>
          <x:t xml:space="preserve">59.00</x:t>
        </x:is>
      </x:c>
      <x:c r="D273" t="inlineStr">
        <x:is>
          <x:t xml:space="preserve">No.</x:t>
        </x:is>
      </x:c>
      <x:c r="E273" t="inlineStr">
        <x:is>
          <x:t xml:space="preserve">13</x:t>
        </x:is>
      </x:c>
      <x:c r="F273" t="inlineStr">
        <x:is>
          <x:t xml:space="preserve">Covered</x:t>
        </x:is>
      </x:c>
      <x:c r="G273" t="inlineStr">
        <x:is>
          <x:t xml:space="preserve">13</x:t>
        </x:is>
      </x:c>
    </x:row>
    <x:row r="274">
      <x:c r="A274" t="inlineStr">
        <x:is>
          <x:t xml:space="preserve">p13:5.4.1</x:t>
        </x:is>
      </x:c>
      <x:c r="B274" t="inlineStr">
        <x:is>
          <x:t xml:space="preserve">Pipe, diameter (1/2";1/4")</x:t>
        </x:is>
      </x:c>
      <x:c r="C274" t="inlineStr">
        <x:is>
          <x:t xml:space="preserve">246.00</x:t>
        </x:is>
      </x:c>
      <x:c r="D274" t="inlineStr">
        <x:is>
          <x:t xml:space="preserve">Lm</x:t>
        </x:is>
      </x:c>
      <x:c r="E274" t="inlineStr">
        <x:is>
          <x:t xml:space="preserve">13</x:t>
        </x:is>
      </x:c>
      <x:c r="F274" t="inlineStr">
        <x:is>
          <x:t xml:space="preserve">Covered</x:t>
        </x:is>
      </x:c>
      <x:c r="G274" t="inlineStr">
        <x:is>
          <x:t xml:space="preserve">13</x:t>
        </x:is>
      </x:c>
    </x:row>
    <x:row r="275">
      <x:c r="A275" t="inlineStr">
        <x:is>
          <x:t xml:space="preserve">p13:5.5.1.1</x:t>
        </x:is>
      </x:c>
      <x:c r="B275" t="inlineStr">
        <x:is>
          <x:t xml:space="preserve">500x200mm</x:t>
        </x:is>
      </x:c>
      <x:c r="C275" t="inlineStr">
        <x:is>
          <x:t xml:space="preserve">1.00</x:t>
        </x:is>
      </x:c>
      <x:c r="D275" t="inlineStr">
        <x:is>
          <x:t xml:space="preserve">No.</x:t>
        </x:is>
      </x:c>
      <x:c r="E275" t="inlineStr">
        <x:is>
          <x:t xml:space="preserve">13</x:t>
        </x:is>
      </x:c>
      <x:c r="F275" t="inlineStr">
        <x:is>
          <x:t xml:space="preserve">Covered</x:t>
        </x:is>
      </x:c>
      <x:c r="G275" t="inlineStr">
        <x:is>
          <x:t xml:space="preserve">13</x:t>
        </x:is>
      </x:c>
    </x:row>
    <x:row r="276">
      <x:c r="A276" t="inlineStr">
        <x:is>
          <x:t xml:space="preserve">p13:5.5.1.2</x:t>
        </x:is>
      </x:c>
      <x:c r="B276" t="inlineStr">
        <x:is>
          <x:t xml:space="preserve">900x400mm</x:t>
        </x:is>
      </x:c>
      <x:c r="C276" t="inlineStr">
        <x:is>
          <x:t xml:space="preserve">1.00</x:t>
        </x:is>
      </x:c>
      <x:c r="D276" t="inlineStr">
        <x:is>
          <x:t xml:space="preserve">No.</x:t>
        </x:is>
      </x:c>
      <x:c r="E276" t="inlineStr">
        <x:is>
          <x:t xml:space="preserve">13</x:t>
        </x:is>
      </x:c>
      <x:c r="F276" t="inlineStr">
        <x:is>
          <x:t xml:space="preserve">Covered</x:t>
        </x:is>
      </x:c>
      <x:c r="G276" t="inlineStr">
        <x:is>
          <x:t xml:space="preserve">13</x:t>
        </x:is>
      </x:c>
    </x:row>
    <x:row r="277">
      <x:c r="A277" t="inlineStr">
        <x:is>
          <x:t xml:space="preserve">p13:5.5.1.3</x:t>
        </x:is>
      </x:c>
      <x:c r="B277" t="inlineStr">
        <x:is>
          <x:t xml:space="preserve">1000x450mm</x:t>
        </x:is>
      </x:c>
      <x:c r="C277" t="inlineStr">
        <x:is>
          <x:t xml:space="preserve">2.00</x:t>
        </x:is>
      </x:c>
      <x:c r="D277" t="inlineStr">
        <x:is>
          <x:t xml:space="preserve">No.</x:t>
        </x:is>
      </x:c>
      <x:c r="E277" t="inlineStr">
        <x:is>
          <x:t xml:space="preserve">13</x:t>
        </x:is>
      </x:c>
      <x:c r="F277" t="inlineStr">
        <x:is>
          <x:t xml:space="preserve">Covered</x:t>
        </x:is>
      </x:c>
      <x:c r="G277" t="inlineStr">
        <x:is>
          <x:t xml:space="preserve">13</x:t>
        </x:is>
      </x:c>
    </x:row>
    <x:row r="278">
      <x:c r="A278" t="inlineStr">
        <x:is>
          <x:t xml:space="preserve">p13:5.5.1.4</x:t>
        </x:is>
      </x:c>
      <x:c r="B278" t="inlineStr">
        <x:is>
          <x:t xml:space="preserve">1500x200mm</x:t>
        </x:is>
      </x:c>
      <x:c r="C278" t="inlineStr">
        <x:is>
          <x:t xml:space="preserve">1.00</x:t>
        </x:is>
      </x:c>
      <x:c r="D278" t="inlineStr">
        <x:is>
          <x:t xml:space="preserve">No.</x:t>
        </x:is>
      </x:c>
      <x:c r="E278" t="inlineStr">
        <x:is>
          <x:t xml:space="preserve">13</x:t>
        </x:is>
      </x:c>
      <x:c r="F278" t="inlineStr">
        <x:is>
          <x:t xml:space="preserve">Covered</x:t>
        </x:is>
      </x:c>
      <x:c r="G278" t="inlineStr">
        <x:is>
          <x:t xml:space="preserve">13</x:t>
        </x:is>
      </x:c>
    </x:row>
    <x:row r="279">
      <x:c r="A279" t="inlineStr">
        <x:is>
          <x:t xml:space="preserve">p13:5.5.2.1</x:t>
        </x:is>
      </x:c>
      <x:c r="B279" t="inlineStr">
        <x:is>
          <x:t xml:space="preserve">300x100mm</x:t>
        </x:is>
      </x:c>
      <x:c r="C279" t="inlineStr">
        <x:is>
          <x:t xml:space="preserve">5.00</x:t>
        </x:is>
      </x:c>
      <x:c r="D279" t="inlineStr">
        <x:is>
          <x:t xml:space="preserve">No.</x:t>
        </x:is>
      </x:c>
      <x:c r="E279" t="inlineStr">
        <x:is>
          <x:t xml:space="preserve">13</x:t>
        </x:is>
      </x:c>
      <x:c r="F279" t="inlineStr">
        <x:is>
          <x:t xml:space="preserve">Covered</x:t>
        </x:is>
      </x:c>
      <x:c r="G279" t="inlineStr">
        <x:is>
          <x:t xml:space="preserve">13</x:t>
        </x:is>
      </x:c>
    </x:row>
    <x:row r="280">
      <x:c r="A280" t="inlineStr">
        <x:is>
          <x:t xml:space="preserve">p13:5.5.3.1</x:t>
        </x:is>
      </x:c>
      <x:c r="B280" t="inlineStr">
        <x:is>
          <x:t xml:space="preserve">500x200mm</x:t>
        </x:is>
      </x:c>
      <x:c r="C280" t="inlineStr">
        <x:is>
          <x:t xml:space="preserve">1.00</x:t>
        </x:is>
      </x:c>
      <x:c r="D280" t="inlineStr">
        <x:is>
          <x:t xml:space="preserve">No.</x:t>
        </x:is>
      </x:c>
      <x:c r="E280" t="inlineStr">
        <x:is>
          <x:t xml:space="preserve">13</x:t>
        </x:is>
      </x:c>
      <x:c r="F280" t="inlineStr">
        <x:is>
          <x:t xml:space="preserve">Covered</x:t>
        </x:is>
      </x:c>
      <x:c r="G280" t="inlineStr">
        <x:is>
          <x:t xml:space="preserve">13</x:t>
        </x:is>
      </x:c>
    </x:row>
    <x:row r="281">
      <x:c r="A281" t="inlineStr">
        <x:is>
          <x:t xml:space="preserve">p13:5.5.3.2</x:t>
        </x:is>
      </x:c>
      <x:c r="B281" t="inlineStr">
        <x:is>
          <x:t xml:space="preserve">900x450mm</x:t>
        </x:is>
      </x:c>
      <x:c r="C281" t="inlineStr">
        <x:is>
          <x:t xml:space="preserve">1.00</x:t>
        </x:is>
      </x:c>
      <x:c r="D281" t="inlineStr">
        <x:is>
          <x:t xml:space="preserve">No.</x:t>
        </x:is>
      </x:c>
      <x:c r="E281" t="inlineStr">
        <x:is>
          <x:t xml:space="preserve">13</x:t>
        </x:is>
      </x:c>
      <x:c r="F281" t="inlineStr">
        <x:is>
          <x:t xml:space="preserve">Covered</x:t>
        </x:is>
      </x:c>
      <x:c r="G281" t="inlineStr">
        <x:is>
          <x:t xml:space="preserve">13</x:t>
        </x:is>
      </x:c>
    </x:row>
    <x:row r="282">
      <x:c r="A282" t="inlineStr">
        <x:is>
          <x:t xml:space="preserve">p13:5.5.3.3</x:t>
        </x:is>
      </x:c>
      <x:c r="B282" t="inlineStr">
        <x:is>
          <x:t xml:space="preserve">1000x500mm</x:t>
        </x:is>
      </x:c>
      <x:c r="C282" t="inlineStr">
        <x:is>
          <x:t xml:space="preserve">2.00</x:t>
        </x:is>
      </x:c>
      <x:c r="D282" t="inlineStr">
        <x:is>
          <x:t xml:space="preserve">No.</x:t>
        </x:is>
      </x:c>
      <x:c r="E282" t="inlineStr">
        <x:is>
          <x:t xml:space="preserve">13</x:t>
        </x:is>
      </x:c>
      <x:c r="F282" t="inlineStr">
        <x:is>
          <x:t xml:space="preserve">Covered</x:t>
        </x:is>
      </x:c>
      <x:c r="G282" t="inlineStr">
        <x:is>
          <x:t xml:space="preserve">13</x:t>
        </x:is>
      </x:c>
    </x:row>
    <x:row r="283">
      <x:c r="A283" t="inlineStr">
        <x:is>
          <x:t xml:space="preserve">p13:5.5.3.4</x:t>
        </x:is>
      </x:c>
      <x:c r="B283" t="inlineStr">
        <x:is>
          <x:t xml:space="preserve">1000x300mm</x:t>
        </x:is>
      </x:c>
      <x:c r="C283" t="inlineStr">
        <x:is>
          <x:t xml:space="preserve">1.00</x:t>
        </x:is>
      </x:c>
      <x:c r="D283" t="inlineStr">
        <x:is>
          <x:t xml:space="preserve">No.</x:t>
        </x:is>
      </x:c>
      <x:c r="E283" t="inlineStr">
        <x:is>
          <x:t xml:space="preserve">13</x:t>
        </x:is>
      </x:c>
      <x:c r="F283" t="inlineStr">
        <x:is>
          <x:t xml:space="preserve">Covered</x:t>
        </x:is>
      </x:c>
      <x:c r="G283" t="inlineStr">
        <x:is>
          <x:t xml:space="preserve">13</x:t>
        </x:is>
      </x:c>
    </x:row>
    <x:row r="284">
      <x:c r="A284" t="inlineStr">
        <x:is>
          <x:t xml:space="preserve">p13:5.5.4.1</x:t>
        </x:is>
      </x:c>
      <x:c r="B284" t="inlineStr">
        <x:is>
          <x:t xml:space="preserve">Ø150mm round ceiling diffuser</x:t>
        </x:is>
      </x:c>
      <x:c r="C284" t="inlineStr">
        <x:is>
          <x:t xml:space="preserve">15.00</x:t>
        </x:is>
      </x:c>
      <x:c r="D284" t="inlineStr">
        <x:is>
          <x:t xml:space="preserve">No.</x:t>
        </x:is>
      </x:c>
      <x:c r="E284" t="inlineStr">
        <x:is>
          <x:t xml:space="preserve">13</x:t>
        </x:is>
      </x:c>
      <x:c r="F284" t="inlineStr">
        <x:is>
          <x:t xml:space="preserve">Covered</x:t>
        </x:is>
      </x:c>
      <x:c r="G284" t="inlineStr">
        <x:is>
          <x:t xml:space="preserve">13</x:t>
        </x:is>
      </x:c>
    </x:row>
    <x:row r="285">
      <x:c r="A285" t="inlineStr">
        <x:is>
          <x:t xml:space="preserve">p13:5.5.5.1</x:t>
        </x:is>
      </x:c>
      <x:c r="B285" t="inlineStr">
        <x:is>
          <x:t xml:space="preserve">500x200mm</x:t>
        </x:is>
      </x:c>
      <x:c r="C285" t="inlineStr">
        <x:is>
          <x:t xml:space="preserve">5.00</x:t>
        </x:is>
      </x:c>
      <x:c r="D285" t="inlineStr">
        <x:is>
          <x:t xml:space="preserve">No.</x:t>
        </x:is>
      </x:c>
      <x:c r="E285" t="inlineStr">
        <x:is>
          <x:t xml:space="preserve">13</x:t>
        </x:is>
      </x:c>
      <x:c r="F285" t="inlineStr">
        <x:is>
          <x:t xml:space="preserve">Covered</x:t>
        </x:is>
      </x:c>
      <x:c r="G285" t="inlineStr">
        <x:is>
          <x:t xml:space="preserve">13</x:t>
        </x:is>
      </x:c>
    </x:row>
    <x:row r="286">
      <x:c r="A286" t="inlineStr">
        <x:is>
          <x:t xml:space="preserve">p13:5.6.1</x:t>
        </x:is>
      </x:c>
      <x:c r="B286" t="inlineStr">
        <x:is>
          <x:t xml:space="preserve">Ø150 mm</x:t>
        </x:is>
      </x:c>
      <x:c r="C286" t="inlineStr">
        <x:is>
          <x:t xml:space="preserve">35.00</x:t>
        </x:is>
      </x:c>
      <x:c r="D286" t="inlineStr">
        <x:is>
          <x:t xml:space="preserve">Lm</x:t>
        </x:is>
      </x:c>
      <x:c r="E286" t="inlineStr">
        <x:is>
          <x:t xml:space="preserve">13</x:t>
        </x:is>
      </x:c>
      <x:c r="F286" t="inlineStr">
        <x:is>
          <x:t xml:space="preserve">Covered</x:t>
        </x:is>
      </x:c>
      <x:c r="G286" t="inlineStr">
        <x:is>
          <x:t xml:space="preserve">13</x:t>
        </x:is>
      </x:c>
    </x:row>
    <x:row r="287">
      <x:c r="A287" t="inlineStr">
        <x:is>
          <x:t xml:space="preserve">p13:5.6.2</x:t>
        </x:is>
      </x:c>
      <x:c r="B287" t="inlineStr">
        <x:is>
          <x:t xml:space="preserve">Ø200 mm</x:t>
        </x:is>
      </x:c>
      <x:c r="C287" t="inlineStr">
        <x:is>
          <x:t xml:space="preserve">9.00</x:t>
        </x:is>
      </x:c>
      <x:c r="D287" t="inlineStr">
        <x:is>
          <x:t xml:space="preserve">Lm</x:t>
        </x:is>
      </x:c>
      <x:c r="E287" t="inlineStr">
        <x:is>
          <x:t xml:space="preserve">13</x:t>
        </x:is>
      </x:c>
      <x:c r="F287" t="inlineStr">
        <x:is>
          <x:t xml:space="preserve">Covered</x:t>
        </x:is>
      </x:c>
      <x:c r="G287" t="inlineStr">
        <x:is>
          <x:t xml:space="preserve">13</x:t>
        </x:is>
      </x:c>
    </x:row>
    <x:row r="288">
      <x:c r="A288" t="inlineStr">
        <x:is>
          <x:t xml:space="preserve">p13:5.7</x:t>
        </x:is>
      </x:c>
      <x:c r="B288" t="inlineStr">
        <x:is>
          <x:t xml:space="preserve">Catalyzed Diesel Oxidization Catalyst (DOC)</x:t>
        </x:is>
      </x:c>
      <x:c r="C288" t="inlineStr">
        <x:is>
          <x:t xml:space="preserve">2.00</x:t>
        </x:is>
      </x:c>
      <x:c r="D288" t="inlineStr">
        <x:is>
          <x:t xml:space="preserve">No.</x:t>
        </x:is>
      </x:c>
      <x:c r="E288" t="inlineStr">
        <x:is>
          <x:t xml:space="preserve">13</x:t>
        </x:is>
      </x:c>
      <x:c r="F288" t="inlineStr">
        <x:is>
          <x:t xml:space="preserve">Covered</x:t>
        </x:is>
      </x:c>
      <x:c r="G288" t="inlineStr">
        <x:is>
          <x:t xml:space="preserve">13</x:t>
        </x:is>
      </x:c>
    </x:row>
    <x:row r="289">
      <x:c r="A289" t="inlineStr">
        <x:is>
          <x:t xml:space="preserve">p13:6.1.1</x:t>
        </x:is>
      </x:c>
      <x:c r="B289" t="inlineStr">
        <x:is>
          <x:t xml:space="preserve">FE-01 Potable Fire Extinguisher Dry powder 4.5 Kg</x:t>
        </x:is>
      </x:c>
      <x:c r="C289" t="inlineStr">
        <x:is>
          <x:t xml:space="preserve">25.00</x:t>
        </x:is>
      </x:c>
      <x:c r="D289" t="inlineStr">
        <x:is>
          <x:t xml:space="preserve">No.</x:t>
        </x:is>
      </x:c>
      <x:c r="E289" t="inlineStr">
        <x:is>
          <x:t xml:space="preserve">13</x:t>
        </x:is>
      </x:c>
      <x:c r="F289" t="inlineStr">
        <x:is>
          <x:t xml:space="preserve">Covered</x:t>
        </x:is>
      </x:c>
      <x:c r="G289" t="inlineStr">
        <x:is>
          <x:t xml:space="preserve">13</x:t>
        </x:is>
      </x:c>
    </x:row>
    <x:row r="290">
      <x:c r="A290" t="inlineStr">
        <x:is>
          <x:t xml:space="preserve">p13:6.1.2</x:t>
        </x:is>
      </x:c>
      <x:c r="B290" t="inlineStr">
        <x:is>
          <x:t xml:space="preserve">FE-02 Potable Fire Extinguisher CO2 4.5 Kg</x:t>
        </x:is>
      </x:c>
      <x:c r="C290" t="inlineStr">
        <x:is>
          <x:t xml:space="preserve">9.00</x:t>
        </x:is>
      </x:c>
      <x:c r="D290" t="inlineStr">
        <x:is>
          <x:t xml:space="preserve">No.</x:t>
        </x:is>
      </x:c>
      <x:c r="E290" t="inlineStr">
        <x:is>
          <x:t xml:space="preserve">13</x:t>
        </x:is>
      </x:c>
      <x:c r="F290" t="inlineStr">
        <x:is>
          <x:t xml:space="preserve">Covered</x:t>
        </x:is>
      </x:c>
      <x:c r="G290" t="inlineStr">
        <x:is>
          <x:t xml:space="preserve">13</x:t>
        </x:is>
      </x:c>
    </x:row>
    <x:row r="291">
      <x:c r="A291" t="inlineStr">
        <x:is>
          <x:t xml:space="preserve">p13:6.1.3</x:t>
        </x:is>
      </x:c>
      <x:c r="B291" t="inlineStr">
        <x:is>
          <x:t xml:space="preserve">FE-03 Trolley Fire Extinguisher (25Kg) Foam Type</x:t>
        </x:is>
      </x:c>
      <x:c r="C291" t="inlineStr">
        <x:is>
          <x:t xml:space="preserve">5.00</x:t>
        </x:is>
      </x:c>
      <x:c r="D291" t="inlineStr">
        <x:is>
          <x:t xml:space="preserve">No.</x:t>
        </x:is>
      </x:c>
      <x:c r="E291" t="inlineStr">
        <x:is>
          <x:t xml:space="preserve">13</x:t>
        </x:is>
      </x:c>
      <x:c r="F291" t="inlineStr">
        <x:is>
          <x:t xml:space="preserve">Covered</x:t>
        </x:is>
      </x:c>
      <x:c r="G291" t="inlineStr">
        <x:is>
          <x:t xml:space="preserve">13</x:t>
        </x:is>
      </x:c>
    </x:row>
    <x:row r="292">
      <x:c r="A292" t="inlineStr">
        <x:is>
          <x:t xml:space="preserve">p13:6.2.1</x:t>
        </x:is>
      </x:c>
      <x:c r="B292" t="inlineStr">
        <x:is>
          <x:t xml:space="preserve">Class ABC, 6kg</x:t>
        </x:is>
      </x:c>
      <x:c r="C292" t="inlineStr">
        <x:is>
          <x:t xml:space="preserve">6.00</x:t>
        </x:is>
      </x:c>
      <x:c r="D292" t="inlineStr">
        <x:is>
          <x:t xml:space="preserve">No.</x:t>
        </x:is>
      </x:c>
      <x:c r="E292" t="inlineStr">
        <x:is>
          <x:t xml:space="preserve">13</x:t>
        </x:is>
      </x:c>
      <x:c r="F292" t="inlineStr">
        <x:is>
          <x:t xml:space="preserve">Covered</x:t>
        </x:is>
      </x:c>
      <x:c r="G292" t="inlineStr">
        <x:is>
          <x:t xml:space="preserve">13</x:t>
        </x:is>
      </x:c>
    </x:row>
    <x:row r="293">
      <x:c r="A293" t="inlineStr">
        <x:is>
          <x:t xml:space="preserve">p13:6.2.2</x:t>
        </x:is>
      </x:c>
      <x:c r="B293" t="inlineStr">
        <x:is>
          <x:t xml:space="preserve">Class ABC, 10kg</x:t>
        </x:is>
      </x:c>
      <x:c r="C293" t="inlineStr">
        <x:is>
          <x:t xml:space="preserve">6.00</x:t>
        </x:is>
      </x:c>
      <x:c r="D293" t="inlineStr">
        <x:is>
          <x:t xml:space="preserve">No.</x:t>
        </x:is>
      </x:c>
      <x:c r="E293" t="inlineStr">
        <x:is>
          <x:t xml:space="preserve">13</x:t>
        </x:is>
      </x:c>
      <x:c r="F293" t="inlineStr">
        <x:is>
          <x:t xml:space="preserve">Covered</x:t>
        </x:is>
      </x:c>
      <x:c r="G293" t="inlineStr">
        <x:is>
          <x:t xml:space="preserve">13</x:t>
        </x:is>
      </x:c>
    </x:row>
    <x:row r="294">
      <x:c r="A294" t="inlineStr">
        <x:is>
          <x:t xml:space="preserve">p13:6.2.3</x:t>
        </x:is>
      </x:c>
      <x:c r="B294" t="inlineStr">
        <x:is>
          <x:t xml:space="preserve">Class ABC, 12kg</x:t>
        </x:is>
      </x:c>
      <x:c r="C294" t="inlineStr">
        <x:is>
          <x:t xml:space="preserve">12.00</x:t>
        </x:is>
      </x:c>
      <x:c r="D294" t="inlineStr">
        <x:is>
          <x:t xml:space="preserve">No.</x:t>
        </x:is>
      </x:c>
      <x:c r="E294" t="inlineStr">
        <x:is>
          <x:t xml:space="preserve">13</x:t>
        </x:is>
      </x:c>
      <x:c r="F294" t="inlineStr">
        <x:is>
          <x:t xml:space="preserve">Covered</x:t>
        </x:is>
      </x:c>
      <x:c r="G294" t="inlineStr">
        <x:is>
          <x:t xml:space="preserve">13</x:t>
        </x:is>
      </x:c>
    </x:row>
    <x:row r="295">
      <x:c r="A295" t="inlineStr">
        <x:is>
          <x:t xml:space="preserve">p14:6.2.4</x:t>
        </x:is>
      </x:c>
      <x:c r="B295" t="inlineStr">
        <x:is>
          <x:t xml:space="preserve">Foam Type, 6kg</x:t>
        </x:is>
      </x:c>
      <x:c r="C295" t="inlineStr">
        <x:is>
          <x:t xml:space="preserve">5.00</x:t>
        </x:is>
      </x:c>
      <x:c r="D295" t="inlineStr">
        <x:is>
          <x:t xml:space="preserve">No.</x:t>
        </x:is>
      </x:c>
      <x:c r="E295" t="inlineStr">
        <x:is>
          <x:t xml:space="preserve">13</x:t>
        </x:is>
      </x:c>
      <x:c r="F295" t="inlineStr">
        <x:is>
          <x:t xml:space="preserve">Covered</x:t>
        </x:is>
      </x:c>
      <x:c r="G295" t="inlineStr">
        <x:is>
          <x:t xml:space="preserve">14</x:t>
        </x:is>
      </x:c>
    </x:row>
    <x:row r="296">
      <x:c r="A296" t="inlineStr">
        <x:is>
          <x:t xml:space="preserve">p14:6.3</x:t>
        </x:is>
      </x:c>
      <x:c r="B296" t="inlineStr">
        <x:is>
          <x:t xml:space="preserve">Fire Hose Cabinet: FHC-01</x:t>
        </x:is>
      </x:c>
      <x:c r="C296" t="inlineStr">
        <x:is>
          <x:t xml:space="preserve">5.00</x:t>
        </x:is>
      </x:c>
      <x:c r="D296" t="inlineStr">
        <x:is>
          <x:t xml:space="preserve">No.</x:t>
        </x:is>
      </x:c>
      <x:c r="E296" t="inlineStr">
        <x:is>
          <x:t xml:space="preserve">13,31</x:t>
        </x:is>
      </x:c>
      <x:c r="F296" t="inlineStr">
        <x:is>
          <x:t xml:space="preserve">Requires Clarification</x:t>
        </x:is>
      </x:c>
      <x:c r="G296" t="inlineStr">
        <x:is>
          <x:t xml:space="preserve">14</x:t>
        </x:is>
      </x:c>
    </x:row>
    <x:row r="297">
      <x:c r="A297" t="inlineStr">
        <x:is>
          <x:t xml:space="preserve">p14:6.4.1</x:t>
        </x:is>
      </x:c>
      <x:c r="B297" t="inlineStr">
        <x:is>
          <x:t xml:space="preserve">Diesel Fire Pump, split case, DFP-01 (flow 100 gpm; head 156 m)</x:t>
        </x:is>
      </x:c>
      <x:c r="C297" t="inlineStr">
        <x:is>
          <x:t xml:space="preserve">1.00</x:t>
        </x:is>
      </x:c>
      <x:c r="D297" t="inlineStr">
        <x:is>
          <x:t xml:space="preserve">No.</x:t>
        </x:is>
      </x:c>
      <x:c r="E297" t="inlineStr">
        <x:is>
          <x:t xml:space="preserve">13,31</x:t>
        </x:is>
      </x:c>
      <x:c r="F297" t="inlineStr">
        <x:is>
          <x:t xml:space="preserve">Requires Clarification</x:t>
        </x:is>
      </x:c>
      <x:c r="G297" t="inlineStr">
        <x:is>
          <x:t xml:space="preserve">14</x:t>
        </x:is>
      </x:c>
    </x:row>
    <x:row r="298">
      <x:c r="A298" t="inlineStr">
        <x:is>
          <x:t xml:space="preserve">p14:6.4.2</x:t>
        </x:is>
      </x:c>
      <x:c r="B298" t="inlineStr">
        <x:is>
          <x:t xml:space="preserve">Electrical Fire Pump, split case, EFP-01 (flow 100 gpm; head 156 m)</x:t>
        </x:is>
      </x:c>
      <x:c r="C298" t="inlineStr">
        <x:is>
          <x:t xml:space="preserve">1.00</x:t>
        </x:is>
      </x:c>
      <x:c r="D298" t="inlineStr">
        <x:is>
          <x:t xml:space="preserve">No.</x:t>
        </x:is>
      </x:c>
      <x:c r="E298" t="inlineStr">
        <x:is>
          <x:t xml:space="preserve">13,31</x:t>
        </x:is>
      </x:c>
      <x:c r="F298" t="inlineStr">
        <x:is>
          <x:t xml:space="preserve">Requires Clarification</x:t>
        </x:is>
      </x:c>
      <x:c r="G298" t="inlineStr">
        <x:is>
          <x:t xml:space="preserve">14</x:t>
        </x:is>
      </x:c>
    </x:row>
    <x:row r="299">
      <x:c r="A299" t="inlineStr">
        <x:is>
          <x:t xml:space="preserve">p14:6.4.3</x:t>
        </x:is>
      </x:c>
      <x:c r="B299" t="inlineStr">
        <x:is>
          <x:t xml:space="preserve">Jockey Pump JKP-01 (flow 5 gpm; head 164 m)</x:t>
        </x:is>
      </x:c>
      <x:c r="C299" t="inlineStr">
        <x:is>
          <x:t xml:space="preserve">1.00</x:t>
        </x:is>
      </x:c>
      <x:c r="D299" t="inlineStr">
        <x:is>
          <x:t xml:space="preserve">No.</x:t>
        </x:is>
      </x:c>
      <x:c r="E299" t="inlineStr">
        <x:is>
          <x:t xml:space="preserve">13,31</x:t>
        </x:is>
      </x:c>
      <x:c r="F299" t="inlineStr">
        <x:is>
          <x:t xml:space="preserve">Requires Clarification</x:t>
        </x:is>
      </x:c>
      <x:c r="G299" t="inlineStr">
        <x:is>
          <x:t xml:space="preserve">14</x:t>
        </x:is>
      </x:c>
    </x:row>
    <x:row r="300">
      <x:c r="A300" t="inlineStr">
        <x:is>
          <x:t xml:space="preserve">p14:6.5.1.1</x:t>
        </x:is>
      </x:c>
      <x:c r="B300" t="inlineStr">
        <x:is>
          <x:t xml:space="preserve">Pipe, 40 mm Diameter</x:t>
        </x:is>
      </x:c>
      <x:c r="C300" t="inlineStr">
        <x:is>
          <x:t xml:space="preserve">61.00</x:t>
        </x:is>
      </x:c>
      <x:c r="D300" t="inlineStr">
        <x:is>
          <x:t xml:space="preserve">Lm</x:t>
        </x:is>
      </x:c>
      <x:c r="E300" t="inlineStr">
        <x:is>
          <x:t xml:space="preserve">13,31</x:t>
        </x:is>
      </x:c>
      <x:c r="F300" t="inlineStr">
        <x:is>
          <x:t xml:space="preserve">Requires Clarification</x:t>
        </x:is>
      </x:c>
      <x:c r="G300" t="inlineStr">
        <x:is>
          <x:t xml:space="preserve">14</x:t>
        </x:is>
      </x:c>
    </x:row>
    <x:row r="301">
      <x:c r="A301" t="inlineStr">
        <x:is>
          <x:t xml:space="preserve">p14:6.5.1.2</x:t>
        </x:is>
      </x:c>
      <x:c r="B301" t="inlineStr">
        <x:is>
          <x:t xml:space="preserve">Pipe, 65 mm Diameter</x:t>
        </x:is>
      </x:c>
      <x:c r="C301" t="inlineStr">
        <x:is>
          <x:t xml:space="preserve">63.00</x:t>
        </x:is>
      </x:c>
      <x:c r="D301" t="inlineStr">
        <x:is>
          <x:t xml:space="preserve">Lm</x:t>
        </x:is>
      </x:c>
      <x:c r="E301" t="inlineStr">
        <x:is>
          <x:t xml:space="preserve">13,31</x:t>
        </x:is>
      </x:c>
      <x:c r="F301" t="inlineStr">
        <x:is>
          <x:t xml:space="preserve">Requires Clarification</x:t>
        </x:is>
      </x:c>
      <x:c r="G301" t="inlineStr">
        <x:is>
          <x:t xml:space="preserve">14</x:t>
        </x:is>
      </x:c>
    </x:row>
    <x:row r="302">
      <x:c r="A302" t="inlineStr">
        <x:is>
          <x:t xml:space="preserve">p14:6.6</x:t>
        </x:is>
      </x:c>
      <x:c r="B302" t="inlineStr">
        <x:is>
          <x:t xml:space="preserve">Diesel tank</x:t>
        </x:is>
      </x:c>
      <x:c r="C302" t="inlineStr">
        <x:is>
          <x:t xml:space="preserve">1.00</x:t>
        </x:is>
      </x:c>
      <x:c r="D302" t="inlineStr">
        <x:is>
          <x:t xml:space="preserve">No.</x:t>
        </x:is>
      </x:c>
      <x:c r="E302" t="inlineStr">
        <x:is>
          <x:t xml:space="preserve">13,31</x:t>
        </x:is>
      </x:c>
      <x:c r="F302" t="inlineStr">
        <x:is>
          <x:t xml:space="preserve">Requires Clarification</x:t>
        </x:is>
      </x:c>
      <x:c r="G302" t="inlineStr">
        <x:is>
          <x:t xml:space="preserve">14</x:t>
        </x:is>
      </x:c>
    </x:row>
    <x:row r="303">
      <x:c r="A303" t="inlineStr">
        <x:is>
          <x:t xml:space="preserve">p14:6.7.1</x:t>
        </x:is>
      </x:c>
      <x:c r="B303" t="inlineStr">
        <x:is>
          <x:t xml:space="preserve">PRV 40mm</x:t>
        </x:is>
      </x:c>
      <x:c r="C303" t="inlineStr">
        <x:is>
          <x:t xml:space="preserve">5.00</x:t>
        </x:is>
      </x:c>
      <x:c r="D303" t="inlineStr">
        <x:is>
          <x:t xml:space="preserve">No.</x:t>
        </x:is>
      </x:c>
      <x:c r="E303" t="inlineStr">
        <x:is>
          <x:t xml:space="preserve">13,31</x:t>
        </x:is>
      </x:c>
      <x:c r="F303" t="inlineStr">
        <x:is>
          <x:t xml:space="preserve">Requires Clarification</x:t>
        </x:is>
      </x:c>
      <x:c r="G303" t="inlineStr">
        <x:is>
          <x:t xml:space="preserve">14</x:t>
        </x:is>
      </x:c>
    </x:row>
    <x:row r="304">
      <x:c r="A304" t="inlineStr">
        <x:is>
          <x:t xml:space="preserve">p14:7.1.1</x:t>
        </x:is>
      </x:c>
      <x:c r="B304" t="inlineStr">
        <x:is>
          <x:t xml:space="preserve">Boiler (50 KW)</x:t>
        </x:is>
      </x:c>
      <x:c r="C304" t="inlineStr">
        <x:is>
          <x:t xml:space="preserve">2.00</x:t>
        </x:is>
      </x:c>
      <x:c r="D304" t="inlineStr">
        <x:is>
          <x:t xml:space="preserve">No.</x:t>
        </x:is>
      </x:c>
      <x:c r="E304" t="inlineStr">
        <x:is>
          <x:t xml:space="preserve">13</x:t>
        </x:is>
      </x:c>
      <x:c r="F304" t="inlineStr">
        <x:is>
          <x:t xml:space="preserve">Covered</x:t>
        </x:is>
      </x:c>
      <x:c r="G304" t="inlineStr">
        <x:is>
          <x:t xml:space="preserve">14</x:t>
        </x:is>
      </x:c>
    </x:row>
    <x:row r="305">
      <x:c r="A305" t="inlineStr">
        <x:is>
          <x:t xml:space="preserve">p14:7.2.1</x:t>
        </x:is>
      </x:c>
      <x:c r="B305" t="inlineStr">
        <x:is>
          <x:t xml:space="preserve">Radiator - Cost per elements (100 W/EL.)</x:t>
        </x:is>
      </x:c>
      <x:c r="C305" t="inlineStr">
        <x:is>
          <x:t xml:space="preserve">518.00</x:t>
        </x:is>
      </x:c>
      <x:c r="D305" t="inlineStr">
        <x:is>
          <x:t xml:space="preserve">No.</x:t>
        </x:is>
      </x:c>
      <x:c r="E305" t="inlineStr">
        <x:is>
          <x:t xml:space="preserve">13</x:t>
        </x:is>
      </x:c>
      <x:c r="F305" t="inlineStr">
        <x:is>
          <x:t xml:space="preserve">Covered</x:t>
        </x:is>
      </x:c>
      <x:c r="G305" t="inlineStr">
        <x:is>
          <x:t xml:space="preserve">14</x:t>
        </x:is>
      </x:c>
    </x:row>
    <x:row r="306">
      <x:c r="A306" t="inlineStr">
        <x:is>
          <x:t xml:space="preserve">p14:7.2.2</x:t>
        </x:is>
      </x:c>
      <x:c r="B306" t="inlineStr">
        <x:is>
          <x:t xml:space="preserve">Towel Warmer 450x800</x:t>
        </x:is>
      </x:c>
      <x:c r="C306" t="inlineStr">
        <x:is>
          <x:t xml:space="preserve">8.00</x:t>
        </x:is>
      </x:c>
      <x:c r="D306" t="inlineStr">
        <x:is>
          <x:t xml:space="preserve">No.</x:t>
        </x:is>
      </x:c>
      <x:c r="E306" t="inlineStr">
        <x:is>
          <x:t xml:space="preserve">13</x:t>
        </x:is>
      </x:c>
      <x:c r="F306" t="inlineStr">
        <x:is>
          <x:t xml:space="preserve">Covered</x:t>
        </x:is>
      </x:c>
      <x:c r="G306" t="inlineStr">
        <x:is>
          <x:t xml:space="preserve">14</x:t>
        </x:is>
      </x:c>
    </x:row>
    <x:row r="307">
      <x:c r="A307" t="inlineStr">
        <x:is>
          <x:t xml:space="preserve">p14:7.3.1</x:t>
        </x:is>
      </x:c>
      <x:c r="B307" t="inlineStr">
        <x:is>
          <x:t xml:space="preserve">Ø 20 mm</x:t>
        </x:is>
      </x:c>
      <x:c r="C307" t="inlineStr">
        <x:is>
          <x:t xml:space="preserve">444.00</x:t>
        </x:is>
      </x:c>
      <x:c r="D307" t="inlineStr">
        <x:is>
          <x:t xml:space="preserve">Lm</x:t>
        </x:is>
      </x:c>
      <x:c r="E307" t="inlineStr">
        <x:is>
          <x:t xml:space="preserve">13</x:t>
        </x:is>
      </x:c>
      <x:c r="F307" t="inlineStr">
        <x:is>
          <x:t xml:space="preserve">Covered</x:t>
        </x:is>
      </x:c>
      <x:c r="G307" t="inlineStr">
        <x:is>
          <x:t xml:space="preserve">14</x:t>
        </x:is>
      </x:c>
    </x:row>
    <x:row r="308">
      <x:c r="A308" t="inlineStr">
        <x:is>
          <x:t xml:space="preserve">p14:7.3.2</x:t>
        </x:is>
      </x:c>
      <x:c r="B308" t="inlineStr">
        <x:is>
          <x:t xml:space="preserve">Ø 25 mm</x:t>
        </x:is>
      </x:c>
      <x:c r="C308" t="inlineStr">
        <x:is>
          <x:t xml:space="preserve">533.00</x:t>
        </x:is>
      </x:c>
      <x:c r="D308" t="inlineStr">
        <x:is>
          <x:t xml:space="preserve">Lm</x:t>
        </x:is>
      </x:c>
      <x:c r="E308" t="inlineStr">
        <x:is>
          <x:t xml:space="preserve">13</x:t>
        </x:is>
      </x:c>
      <x:c r="F308" t="inlineStr">
        <x:is>
          <x:t xml:space="preserve">Covered</x:t>
        </x:is>
      </x:c>
      <x:c r="G308" t="inlineStr">
        <x:is>
          <x:t xml:space="preserve">14</x:t>
        </x:is>
      </x:c>
    </x:row>
    <x:row r="309">
      <x:c r="A309" t="inlineStr">
        <x:is>
          <x:t xml:space="preserve">p14:7.3.3</x:t>
        </x:is>
      </x:c>
      <x:c r="B309" t="inlineStr">
        <x:is>
          <x:t xml:space="preserve">Ø 32 mm</x:t>
        </x:is>
      </x:c>
      <x:c r="C309" t="inlineStr">
        <x:is>
          <x:t xml:space="preserve">548.00</x:t>
        </x:is>
      </x:c>
      <x:c r="D309" t="inlineStr">
        <x:is>
          <x:t xml:space="preserve">Lm</x:t>
        </x:is>
      </x:c>
      <x:c r="E309" t="inlineStr">
        <x:is>
          <x:t xml:space="preserve">13</x:t>
        </x:is>
      </x:c>
      <x:c r="F309" t="inlineStr">
        <x:is>
          <x:t xml:space="preserve">Covered</x:t>
        </x:is>
      </x:c>
      <x:c r="G309" t="inlineStr">
        <x:is>
          <x:t xml:space="preserve">14</x:t>
        </x:is>
      </x:c>
    </x:row>
    <x:row r="310">
      <x:c r="A310" t="inlineStr">
        <x:is>
          <x:t xml:space="preserve">p14:7.3.4</x:t>
        </x:is>
      </x:c>
      <x:c r="B310" t="inlineStr">
        <x:is>
          <x:t xml:space="preserve">Ø 50 mm</x:t>
        </x:is>
      </x:c>
      <x:c r="C310" t="inlineStr">
        <x:is>
          <x:t xml:space="preserve">15.00</x:t>
        </x:is>
      </x:c>
      <x:c r="D310" t="inlineStr">
        <x:is>
          <x:t xml:space="preserve">Lm</x:t>
        </x:is>
      </x:c>
      <x:c r="E310" t="inlineStr">
        <x:is>
          <x:t xml:space="preserve">13</x:t>
        </x:is>
      </x:c>
      <x:c r="F310" t="inlineStr">
        <x:is>
          <x:t xml:space="preserve">Covered</x:t>
        </x:is>
      </x:c>
      <x:c r="G310" t="inlineStr">
        <x:is>
          <x:t xml:space="preserve">14</x:t>
        </x:is>
      </x:c>
    </x:row>
    <x:row r="311">
      <x:c r="A311" t="inlineStr">
        <x:is>
          <x:t xml:space="preserve">p14:7.4.1</x:t>
        </x:is>
      </x:c>
      <x:c r="B311" t="inlineStr">
        <x:is>
          <x:t xml:space="preserve">Ø 20 mm</x:t>
        </x:is>
      </x:c>
      <x:c r="C311" t="inlineStr">
        <x:is>
          <x:t xml:space="preserve">444.00</x:t>
        </x:is>
      </x:c>
      <x:c r="D311" t="inlineStr">
        <x:is>
          <x:t xml:space="preserve">Lm</x:t>
        </x:is>
      </x:c>
      <x:c r="E311" t="inlineStr">
        <x:is>
          <x:t xml:space="preserve">13</x:t>
        </x:is>
      </x:c>
      <x:c r="F311" t="inlineStr">
        <x:is>
          <x:t xml:space="preserve">Covered</x:t>
        </x:is>
      </x:c>
      <x:c r="G311" t="inlineStr">
        <x:is>
          <x:t xml:space="preserve">14</x:t>
        </x:is>
      </x:c>
    </x:row>
    <x:row r="312">
      <x:c r="A312" t="inlineStr">
        <x:is>
          <x:t xml:space="preserve">p14:7.4.2</x:t>
        </x:is>
      </x:c>
      <x:c r="B312" t="inlineStr">
        <x:is>
          <x:t xml:space="preserve">Ø 25 mm</x:t>
        </x:is>
      </x:c>
      <x:c r="C312" t="inlineStr">
        <x:is>
          <x:t xml:space="preserve">533.00</x:t>
        </x:is>
      </x:c>
      <x:c r="D312" t="inlineStr">
        <x:is>
          <x:t xml:space="preserve">Lm</x:t>
        </x:is>
      </x:c>
      <x:c r="E312" t="inlineStr">
        <x:is>
          <x:t xml:space="preserve">13</x:t>
        </x:is>
      </x:c>
      <x:c r="F312" t="inlineStr">
        <x:is>
          <x:t xml:space="preserve">Covered</x:t>
        </x:is>
      </x:c>
      <x:c r="G312" t="inlineStr">
        <x:is>
          <x:t xml:space="preserve">14</x:t>
        </x:is>
      </x:c>
    </x:row>
    <x:row r="313">
      <x:c r="A313" t="inlineStr">
        <x:is>
          <x:t xml:space="preserve">p14:7.4.3</x:t>
        </x:is>
      </x:c>
      <x:c r="B313" t="inlineStr">
        <x:is>
          <x:t xml:space="preserve">Ø 32 mm</x:t>
        </x:is>
      </x:c>
      <x:c r="C313" t="inlineStr">
        <x:is>
          <x:t xml:space="preserve">548.00</x:t>
        </x:is>
      </x:c>
      <x:c r="D313" t="inlineStr">
        <x:is>
          <x:t xml:space="preserve">Lm</x:t>
        </x:is>
      </x:c>
      <x:c r="E313" t="inlineStr">
        <x:is>
          <x:t xml:space="preserve">13</x:t>
        </x:is>
      </x:c>
      <x:c r="F313" t="inlineStr">
        <x:is>
          <x:t xml:space="preserve">Covered</x:t>
        </x:is>
      </x:c>
      <x:c r="G313" t="inlineStr">
        <x:is>
          <x:t xml:space="preserve">14</x:t>
        </x:is>
      </x:c>
    </x:row>
    <x:row r="314">
      <x:c r="A314" t="inlineStr">
        <x:is>
          <x:t xml:space="preserve">p14:7.4.4</x:t>
        </x:is>
      </x:c>
      <x:c r="B314" t="inlineStr">
        <x:is>
          <x:t xml:space="preserve">Ø 50 mm</x:t>
        </x:is>
      </x:c>
      <x:c r="C314" t="inlineStr">
        <x:is>
          <x:t xml:space="preserve">15.00</x:t>
        </x:is>
      </x:c>
      <x:c r="D314" t="inlineStr">
        <x:is>
          <x:t xml:space="preserve">Lm</x:t>
        </x:is>
      </x:c>
      <x:c r="E314" t="inlineStr">
        <x:is>
          <x:t xml:space="preserve">13</x:t>
        </x:is>
      </x:c>
      <x:c r="F314" t="inlineStr">
        <x:is>
          <x:t xml:space="preserve">Covered</x:t>
        </x:is>
      </x:c>
      <x:c r="G314" t="inlineStr">
        <x:is>
          <x:t xml:space="preserve">14</x:t>
        </x:is>
      </x:c>
    </x:row>
    <x:row r="315">
      <x:c r="A315" t="inlineStr">
        <x:is>
          <x:t xml:space="preserve">p15:7.5.1</x:t>
        </x:is>
      </x:c>
      <x:c r="B315" t="inlineStr">
        <x:is>
          <x:t xml:space="preserve">HRP-01 (50gpm, 7m)</x:t>
        </x:is>
      </x:c>
      <x:c r="C315" t="inlineStr">
        <x:is>
          <x:t xml:space="preserve">1.00</x:t>
        </x:is>
      </x:c>
      <x:c r="D315" t="inlineStr">
        <x:is>
          <x:t xml:space="preserve">No.</x:t>
        </x:is>
      </x:c>
      <x:c r="E315" t="inlineStr">
        <x:is>
          <x:t xml:space="preserve">13</x:t>
        </x:is>
      </x:c>
      <x:c r="F315" t="inlineStr">
        <x:is>
          <x:t xml:space="preserve">Covered</x:t>
        </x:is>
      </x:c>
      <x:c r="G315" t="inlineStr">
        <x:is>
          <x:t xml:space="preserve">15</x:t>
        </x:is>
      </x:c>
    </x:row>
    <x:row r="316">
      <x:c r="A316" t="inlineStr">
        <x:is>
          <x:t xml:space="preserve">p15:7.5.2</x:t>
        </x:is>
      </x:c>
      <x:c r="B316" t="inlineStr">
        <x:is>
          <x:t xml:space="preserve">HRP-02 (50gpm, 7m)</x:t>
        </x:is>
      </x:c>
      <x:c r="C316" t="inlineStr">
        <x:is>
          <x:t xml:space="preserve">1.00</x:t>
        </x:is>
      </x:c>
      <x:c r="D316" t="inlineStr">
        <x:is>
          <x:t xml:space="preserve">No.</x:t>
        </x:is>
      </x:c>
      <x:c r="E316" t="inlineStr">
        <x:is>
          <x:t xml:space="preserve">13</x:t>
        </x:is>
      </x:c>
      <x:c r="F316" t="inlineStr">
        <x:is>
          <x:t xml:space="preserve">Covered</x:t>
        </x:is>
      </x:c>
      <x:c r="G316" t="inlineStr">
        <x:is>
          <x:t xml:space="preserve">15</x:t>
        </x:is>
      </x:c>
    </x:row>
    <x:row r="317">
      <x:c r="A317" t="inlineStr">
        <x:is>
          <x:t xml:space="preserve">p15:7.5.3</x:t>
        </x:is>
      </x:c>
      <x:c r="B317" t="inlineStr">
        <x:is>
          <x:t xml:space="preserve">HP-03 (8gpm, 35m)</x:t>
        </x:is>
      </x:c>
      <x:c r="C317" t="inlineStr">
        <x:is>
          <x:t xml:space="preserve">1.00</x:t>
        </x:is>
      </x:c>
      <x:c r="D317" t="inlineStr">
        <x:is>
          <x:t xml:space="preserve">No.</x:t>
        </x:is>
      </x:c>
      <x:c r="E317" t="inlineStr">
        <x:is>
          <x:t xml:space="preserve">13</x:t>
        </x:is>
      </x:c>
      <x:c r="F317" t="inlineStr">
        <x:is>
          <x:t xml:space="preserve">Covered</x:t>
        </x:is>
      </x:c>
      <x:c r="G317" t="inlineStr">
        <x:is>
          <x:t xml:space="preserve">15</x:t>
        </x:is>
      </x:c>
    </x:row>
    <x:row r="318">
      <x:c r="A318" t="inlineStr">
        <x:is>
          <x:t xml:space="preserve">p15:7.5.4</x:t>
        </x:is>
      </x:c>
      <x:c r="B318" t="inlineStr">
        <x:is>
          <x:t xml:space="preserve">HP-04 (8gpm, 22m)</x:t>
        </x:is>
      </x:c>
      <x:c r="C318" t="inlineStr">
        <x:is>
          <x:t xml:space="preserve">1.00</x:t>
        </x:is>
      </x:c>
      <x:c r="D318" t="inlineStr">
        <x:is>
          <x:t xml:space="preserve">No.</x:t>
        </x:is>
      </x:c>
      <x:c r="E318" t="inlineStr">
        <x:is>
          <x:t xml:space="preserve">13</x:t>
        </x:is>
      </x:c>
      <x:c r="F318" t="inlineStr">
        <x:is>
          <x:t xml:space="preserve">Covered</x:t>
        </x:is>
      </x:c>
      <x:c r="G318" t="inlineStr">
        <x:is>
          <x:t xml:space="preserve">15</x:t>
        </x:is>
      </x:c>
    </x:row>
    <x:row r="319">
      <x:c r="A319" t="inlineStr">
        <x:is>
          <x:t xml:space="preserve">p15:7.5.5</x:t>
        </x:is>
      </x:c>
      <x:c r="B319" t="inlineStr">
        <x:is>
          <x:t xml:space="preserve">HP-05 (12gpm, 17m)</x:t>
        </x:is>
      </x:c>
      <x:c r="C319" t="inlineStr">
        <x:is>
          <x:t xml:space="preserve">1.00</x:t>
        </x:is>
      </x:c>
      <x:c r="D319" t="inlineStr">
        <x:is>
          <x:t xml:space="preserve">No.</x:t>
        </x:is>
      </x:c>
      <x:c r="E319" t="inlineStr">
        <x:is>
          <x:t xml:space="preserve">13</x:t>
        </x:is>
      </x:c>
      <x:c r="F319" t="inlineStr">
        <x:is>
          <x:t xml:space="preserve">Covered</x:t>
        </x:is>
      </x:c>
      <x:c r="G319" t="inlineStr">
        <x:is>
          <x:t xml:space="preserve">15</x:t>
        </x:is>
      </x:c>
    </x:row>
    <x:row r="320">
      <x:c r="A320" t="inlineStr">
        <x:is>
          <x:t xml:space="preserve">p15:7.5.6</x:t>
        </x:is>
      </x:c>
      <x:c r="B320" t="inlineStr">
        <x:is>
          <x:t xml:space="preserve">HP-06 (35gpm, 13m)</x:t>
        </x:is>
      </x:c>
      <x:c r="C320" t="inlineStr">
        <x:is>
          <x:t xml:space="preserve">1.00</x:t>
        </x:is>
      </x:c>
      <x:c r="D320" t="inlineStr">
        <x:is>
          <x:t xml:space="preserve">No.</x:t>
        </x:is>
      </x:c>
      <x:c r="E320" t="inlineStr">
        <x:is>
          <x:t xml:space="preserve">13</x:t>
        </x:is>
      </x:c>
      <x:c r="F320" t="inlineStr">
        <x:is>
          <x:t xml:space="preserve">Covered</x:t>
        </x:is>
      </x:c>
      <x:c r="G320" t="inlineStr">
        <x:is>
          <x:t xml:space="preserve">15</x:t>
        </x:is>
      </x:c>
    </x:row>
    <x:row r="321">
      <x:c r="A321" t="inlineStr">
        <x:is>
          <x:t xml:space="preserve">p15:7.5.7</x:t>
        </x:is>
      </x:c>
      <x:c r="B321" t="inlineStr">
        <x:is>
          <x:t xml:space="preserve">HP-07 (35gpm, 13m)</x:t>
        </x:is>
      </x:c>
      <x:c r="C321" t="inlineStr">
        <x:is>
          <x:t xml:space="preserve">1.00</x:t>
        </x:is>
      </x:c>
      <x:c r="D321" t="inlineStr">
        <x:is>
          <x:t xml:space="preserve">No.</x:t>
        </x:is>
      </x:c>
      <x:c r="E321" t="inlineStr">
        <x:is>
          <x:t xml:space="preserve">13</x:t>
        </x:is>
      </x:c>
      <x:c r="F321" t="inlineStr">
        <x:is>
          <x:t xml:space="preserve">Covered</x:t>
        </x:is>
      </x:c>
      <x:c r="G321" t="inlineStr">
        <x:is>
          <x:t xml:space="preserve">15</x:t>
        </x:is>
      </x:c>
    </x:row>
    <x:row r="322">
      <x:c r="A322" t="inlineStr">
        <x:is>
          <x:t xml:space="preserve">p15:7.6.1</x:t>
        </x:is>
      </x:c>
      <x:c r="B322" t="inlineStr">
        <x:is>
          <x:t xml:space="preserve">200W</x:t>
        </x:is>
      </x:c>
      <x:c r="C322" t="inlineStr">
        <x:is>
          <x:t xml:space="preserve">2.00</x:t>
        </x:is>
      </x:c>
      <x:c r="D322" t="inlineStr">
        <x:is>
          <x:t xml:space="preserve">No.</x:t>
        </x:is>
      </x:c>
      <x:c r="E322" t="inlineStr">
        <x:is>
          <x:t xml:space="preserve">13</x:t>
        </x:is>
      </x:c>
      <x:c r="F322" t="inlineStr">
        <x:is>
          <x:t xml:space="preserve">Covered</x:t>
        </x:is>
      </x:c>
      <x:c r="G322" t="inlineStr">
        <x:is>
          <x:t xml:space="preserve">15</x:t>
        </x:is>
      </x:c>
    </x:row>
    <x:row r="323">
      <x:c r="A323" t="inlineStr">
        <x:is>
          <x:t xml:space="preserve">p15:2.1.1</x:t>
        </x:is>
      </x:c>
      <x:c r="B323" t="inlineStr">
        <x:is>
          <x:t xml:space="preserve">DB-GF</x:t>
        </x:is>
      </x:c>
      <x:c r="C323" t="inlineStr">
        <x:is>
          <x:t xml:space="preserve">1.00</x:t>
        </x:is>
      </x:c>
      <x:c r="D323" t="inlineStr">
        <x:is>
          <x:t xml:space="preserve">No.</x:t>
        </x:is>
      </x:c>
      <x:c r="E323" t="inlineStr">
        <x:is>
          <x:t xml:space="preserve">13</x:t>
        </x:is>
      </x:c>
      <x:c r="F323" t="inlineStr">
        <x:is>
          <x:t xml:space="preserve">Covered</x:t>
        </x:is>
      </x:c>
      <x:c r="G323" t="inlineStr">
        <x:is>
          <x:t xml:space="preserve">15</x:t>
        </x:is>
      </x:c>
    </x:row>
    <x:row r="324">
      <x:c r="A324" t="inlineStr">
        <x:is>
          <x:t xml:space="preserve">p15:2.1.2</x:t>
        </x:is>
      </x:c>
      <x:c r="B324" t="inlineStr">
        <x:is>
          <x:t xml:space="preserve">UDB-F1</x:t>
        </x:is>
      </x:c>
      <x:c r="C324" t="inlineStr">
        <x:is>
          <x:t xml:space="preserve">1.00</x:t>
        </x:is>
      </x:c>
      <x:c r="D324" t="inlineStr">
        <x:is>
          <x:t xml:space="preserve">No.</x:t>
        </x:is>
      </x:c>
      <x:c r="E324" t="inlineStr">
        <x:is>
          <x:t xml:space="preserve">13</x:t>
        </x:is>
      </x:c>
      <x:c r="F324" t="inlineStr">
        <x:is>
          <x:t xml:space="preserve">Covered</x:t>
        </x:is>
      </x:c>
      <x:c r="G324" t="inlineStr">
        <x:is>
          <x:t xml:space="preserve">15</x:t>
        </x:is>
      </x:c>
    </x:row>
    <x:row r="325">
      <x:c r="A325" t="inlineStr">
        <x:is>
          <x:t xml:space="preserve">p15:2.1.3</x:t>
        </x:is>
      </x:c>
      <x:c r="B325" t="inlineStr">
        <x:is>
          <x:t xml:space="preserve">DB-F1</x:t>
        </x:is>
      </x:c>
      <x:c r="C325" t="inlineStr">
        <x:is>
          <x:t xml:space="preserve">1.00</x:t>
        </x:is>
      </x:c>
      <x:c r="D325" t="inlineStr">
        <x:is>
          <x:t xml:space="preserve">No.</x:t>
        </x:is>
      </x:c>
      <x:c r="E325" t="inlineStr">
        <x:is>
          <x:t xml:space="preserve">13</x:t>
        </x:is>
      </x:c>
      <x:c r="F325" t="inlineStr">
        <x:is>
          <x:t xml:space="preserve">Covered</x:t>
        </x:is>
      </x:c>
      <x:c r="G325" t="inlineStr">
        <x:is>
          <x:t xml:space="preserve">15</x:t>
        </x:is>
      </x:c>
    </x:row>
    <x:row r="326">
      <x:c r="A326" t="inlineStr">
        <x:is>
          <x:t xml:space="preserve">p15:2.1.4</x:t>
        </x:is>
      </x:c>
      <x:c r="B326" t="inlineStr">
        <x:is>
          <x:t xml:space="preserve">DB-F2</x:t>
        </x:is>
      </x:c>
      <x:c r="C326" t="inlineStr">
        <x:is>
          <x:t xml:space="preserve">1.00</x:t>
        </x:is>
      </x:c>
      <x:c r="D326" t="inlineStr">
        <x:is>
          <x:t xml:space="preserve">No.</x:t>
        </x:is>
      </x:c>
      <x:c r="E326" t="inlineStr">
        <x:is>
          <x:t xml:space="preserve">13</x:t>
        </x:is>
      </x:c>
      <x:c r="F326" t="inlineStr">
        <x:is>
          <x:t xml:space="preserve">Covered</x:t>
        </x:is>
      </x:c>
      <x:c r="G326" t="inlineStr">
        <x:is>
          <x:t xml:space="preserve">15</x:t>
        </x:is>
      </x:c>
    </x:row>
    <x:row r="327">
      <x:c r="A327" t="inlineStr">
        <x:is>
          <x:t xml:space="preserve">p15:2.1.5</x:t>
        </x:is>
      </x:c>
      <x:c r="B327" t="inlineStr">
        <x:is>
          <x:t xml:space="preserve">DB-F3</x:t>
        </x:is>
      </x:c>
      <x:c r="C327" t="inlineStr">
        <x:is>
          <x:t xml:space="preserve">1.00</x:t>
        </x:is>
      </x:c>
      <x:c r="D327" t="inlineStr">
        <x:is>
          <x:t xml:space="preserve">No.</x:t>
        </x:is>
      </x:c>
      <x:c r="E327" t="inlineStr">
        <x:is>
          <x:t xml:space="preserve">13</x:t>
        </x:is>
      </x:c>
      <x:c r="F327" t="inlineStr">
        <x:is>
          <x:t xml:space="preserve">Covered</x:t>
        </x:is>
      </x:c>
      <x:c r="G327" t="inlineStr">
        <x:is>
          <x:t xml:space="preserve">15</x:t>
        </x:is>
      </x:c>
    </x:row>
    <x:row r="328">
      <x:c r="A328" t="inlineStr">
        <x:is>
          <x:t xml:space="preserve">p15:2.1.6</x:t>
        </x:is>
      </x:c>
      <x:c r="B328" t="inlineStr">
        <x:is>
          <x:t xml:space="preserve">MCC-GF</x:t>
        </x:is>
      </x:c>
      <x:c r="C328" t="inlineStr">
        <x:is>
          <x:t xml:space="preserve">1.00</x:t>
        </x:is>
      </x:c>
      <x:c r="D328" t="inlineStr">
        <x:is>
          <x:t xml:space="preserve">No.</x:t>
        </x:is>
      </x:c>
      <x:c r="E328" t="inlineStr">
        <x:is>
          <x:t xml:space="preserve">13</x:t>
        </x:is>
      </x:c>
      <x:c r="F328" t="inlineStr">
        <x:is>
          <x:t xml:space="preserve">Covered</x:t>
        </x:is>
      </x:c>
      <x:c r="G328" t="inlineStr">
        <x:is>
          <x:t xml:space="preserve">15</x:t>
        </x:is>
      </x:c>
    </x:row>
    <x:row r="329">
      <x:c r="A329" t="inlineStr">
        <x:is>
          <x:t xml:space="preserve">p15:2.1.7</x:t>
        </x:is>
      </x:c>
      <x:c r="B329" t="inlineStr">
        <x:is>
          <x:t xml:space="preserve">SMDB-GF</x:t>
        </x:is>
      </x:c>
      <x:c r="C329" t="inlineStr">
        <x:is>
          <x:t xml:space="preserve">1.00</x:t>
        </x:is>
      </x:c>
      <x:c r="D329" t="inlineStr">
        <x:is>
          <x:t xml:space="preserve">No.</x:t>
        </x:is>
      </x:c>
      <x:c r="E329" t="inlineStr">
        <x:is>
          <x:t xml:space="preserve">13</x:t>
        </x:is>
      </x:c>
      <x:c r="F329" t="inlineStr">
        <x:is>
          <x:t xml:space="preserve">Covered</x:t>
        </x:is>
      </x:c>
      <x:c r="G329" t="inlineStr">
        <x:is>
          <x:t xml:space="preserve">15</x:t>
        </x:is>
      </x:c>
    </x:row>
    <x:row r="330">
      <x:c r="A330" t="inlineStr">
        <x:is>
          <x:t xml:space="preserve">p15:2.1.8</x:t>
        </x:is>
      </x:c>
      <x:c r="B330" t="inlineStr">
        <x:is>
          <x:t xml:space="preserve">ATS1 (4x125A)</x:t>
        </x:is>
      </x:c>
      <x:c r="C330" t="inlineStr">
        <x:is>
          <x:t xml:space="preserve">1.00</x:t>
        </x:is>
      </x:c>
      <x:c r="D330" t="inlineStr">
        <x:is>
          <x:t xml:space="preserve">No.</x:t>
        </x:is>
      </x:c>
      <x:c r="E330" t="inlineStr">
        <x:is>
          <x:t xml:space="preserve">13,26</x:t>
        </x:is>
      </x:c>
      <x:c r="F330" t="inlineStr">
        <x:is>
          <x:t xml:space="preserve">Requires Clarification</x:t>
        </x:is>
      </x:c>
      <x:c r="G330" t="inlineStr">
        <x:is>
          <x:t xml:space="preserve">15</x:t>
        </x:is>
      </x:c>
    </x:row>
    <x:row r="331">
      <x:c r="A331" t="inlineStr">
        <x:is>
          <x:t xml:space="preserve">p15:2.1.9</x:t>
        </x:is>
      </x:c>
      <x:c r="B331" t="inlineStr">
        <x:is>
          <x:t xml:space="preserve">ATS2 (4x125A)</x:t>
        </x:is>
      </x:c>
      <x:c r="C331" t="inlineStr">
        <x:is>
          <x:t xml:space="preserve">1.00</x:t>
        </x:is>
      </x:c>
      <x:c r="D331" t="inlineStr">
        <x:is>
          <x:t xml:space="preserve">No.</x:t>
        </x:is>
      </x:c>
      <x:c r="E331" t="inlineStr">
        <x:is>
          <x:t xml:space="preserve">13,26</x:t>
        </x:is>
      </x:c>
      <x:c r="F331" t="inlineStr">
        <x:is>
          <x:t xml:space="preserve">Requires Clarification</x:t>
        </x:is>
      </x:c>
      <x:c r="G331" t="inlineStr">
        <x:is>
          <x:t xml:space="preserve">15</x:t>
        </x:is>
      </x:c>
    </x:row>
    <x:row r="332">
      <x:c r="A332" t="inlineStr">
        <x:is>
          <x:t xml:space="preserve">p15:3.1.1</x:t>
        </x:is>
      </x:c>
      <x:c r="B332" t="inlineStr">
        <x:is>
          <x:t xml:space="preserve">Power Cable tray (150x50mm)</x:t>
        </x:is>
      </x:c>
      <x:c r="C332" t="inlineStr">
        <x:is>
          <x:t xml:space="preserve">21.00</x:t>
        </x:is>
      </x:c>
      <x:c r="D332" t="inlineStr">
        <x:is>
          <x:t xml:space="preserve">Lm</x:t>
        </x:is>
      </x:c>
      <x:c r="E332" t="inlineStr">
        <x:is>
          <x:t xml:space="preserve">13</x:t>
        </x:is>
      </x:c>
      <x:c r="F332" t="inlineStr">
        <x:is>
          <x:t xml:space="preserve">Covered</x:t>
        </x:is>
      </x:c>
      <x:c r="G332" t="inlineStr">
        <x:is>
          <x:t xml:space="preserve">15</x:t>
        </x:is>
      </x:c>
    </x:row>
    <x:row r="333">
      <x:c r="A333" t="inlineStr">
        <x:is>
          <x:t xml:space="preserve">p15:3.1.2</x:t>
        </x:is>
      </x:c>
      <x:c r="B333" t="inlineStr">
        <x:is>
          <x:t xml:space="preserve">Power Cable tray (300x50mm)</x:t>
        </x:is>
      </x:c>
      <x:c r="C333" t="inlineStr">
        <x:is>
          <x:t xml:space="preserve">16.00</x:t>
        </x:is>
      </x:c>
      <x:c r="D333" t="inlineStr">
        <x:is>
          <x:t xml:space="preserve">Lm</x:t>
        </x:is>
      </x:c>
      <x:c r="E333" t="inlineStr">
        <x:is>
          <x:t xml:space="preserve">13</x:t>
        </x:is>
      </x:c>
      <x:c r="F333" t="inlineStr">
        <x:is>
          <x:t xml:space="preserve">Covered</x:t>
        </x:is>
      </x:c>
      <x:c r="G333" t="inlineStr">
        <x:is>
          <x:t xml:space="preserve">15</x:t>
        </x:is>
      </x:c>
    </x:row>
    <x:row r="334">
      <x:c r="A334" t="inlineStr">
        <x:is>
          <x:t xml:space="preserve">p15:3.1.3</x:t>
        </x:is>
      </x:c>
      <x:c r="B334" t="inlineStr">
        <x:is>
          <x:t xml:space="preserve">Power Cable tray (600x50mm)</x:t>
        </x:is>
      </x:c>
      <x:c r="C334" t="inlineStr">
        <x:is>
          <x:t xml:space="preserve">121.00</x:t>
        </x:is>
      </x:c>
      <x:c r="D334" t="inlineStr">
        <x:is>
          <x:t xml:space="preserve">Lm</x:t>
        </x:is>
      </x:c>
      <x:c r="E334" t="inlineStr">
        <x:is>
          <x:t xml:space="preserve">13</x:t>
        </x:is>
      </x:c>
      <x:c r="F334" t="inlineStr">
        <x:is>
          <x:t xml:space="preserve">Covered</x:t>
        </x:is>
      </x:c>
      <x:c r="G334" t="inlineStr">
        <x:is>
          <x:t xml:space="preserve">15</x:t>
        </x:is>
      </x:c>
    </x:row>
    <x:row r="335">
      <x:c r="A335" t="inlineStr">
        <x:is>
          <x:t xml:space="preserve">p15:3.1.4</x:t>
        </x:is>
      </x:c>
      <x:c r="B335" t="inlineStr">
        <x:is>
          <x:t xml:space="preserve">Low Current Cable tray (150x50mm)</x:t>
        </x:is>
      </x:c>
      <x:c r="C335" t="inlineStr">
        <x:is>
          <x:t xml:space="preserve">84.00</x:t>
        </x:is>
      </x:c>
      <x:c r="D335" t="inlineStr">
        <x:is>
          <x:t xml:space="preserve">Lm</x:t>
        </x:is>
      </x:c>
      <x:c r="E335" t="inlineStr">
        <x:is>
          <x:t xml:space="preserve">13</x:t>
        </x:is>
      </x:c>
      <x:c r="F335" t="inlineStr">
        <x:is>
          <x:t xml:space="preserve">Covered</x:t>
        </x:is>
      </x:c>
      <x:c r="G335" t="inlineStr">
        <x:is>
          <x:t xml:space="preserve">15</x:t>
        </x:is>
      </x:c>
    </x:row>
    <x:row r="336">
      <x:c r="A336" t="inlineStr">
        <x:is>
          <x:t xml:space="preserve">p15:3.1.5</x:t>
        </x:is>
      </x:c>
      <x:c r="B336" t="inlineStr">
        <x:is>
          <x:t xml:space="preserve">Low Current Cable tray (300x50mm)</x:t>
        </x:is>
      </x:c>
      <x:c r="C336" t="inlineStr">
        <x:is>
          <x:t xml:space="preserve">64.00</x:t>
        </x:is>
      </x:c>
      <x:c r="D336" t="inlineStr">
        <x:is>
          <x:t xml:space="preserve">Lm</x:t>
        </x:is>
      </x:c>
      <x:c r="E336" t="inlineStr">
        <x:is>
          <x:t xml:space="preserve">13</x:t>
        </x:is>
      </x:c>
      <x:c r="F336" t="inlineStr">
        <x:is>
          <x:t xml:space="preserve">Covered</x:t>
        </x:is>
      </x:c>
      <x:c r="G336" t="inlineStr">
        <x:is>
          <x:t xml:space="preserve">15</x:t>
        </x:is>
      </x:c>
    </x:row>
    <x:row r="337">
      <x:c r="A337" t="inlineStr">
        <x:is>
          <x:t xml:space="preserve">p15:3.1.6</x:t>
        </x:is>
      </x:c>
      <x:c r="B337" t="inlineStr">
        <x:is>
          <x:t xml:space="preserve">Covered Power Cable tray (150x50mm)</x:t>
        </x:is>
      </x:c>
      <x:c r="C337" t="inlineStr">
        <x:is>
          <x:t xml:space="preserve">53.00</x:t>
        </x:is>
      </x:c>
      <x:c r="D337" t="inlineStr">
        <x:is>
          <x:t xml:space="preserve">Lm</x:t>
        </x:is>
      </x:c>
      <x:c r="E337" t="inlineStr">
        <x:is>
          <x:t xml:space="preserve">13</x:t>
        </x:is>
      </x:c>
      <x:c r="F337" t="inlineStr">
        <x:is>
          <x:t xml:space="preserve">Covered</x:t>
        </x:is>
      </x:c>
      <x:c r="G337" t="inlineStr">
        <x:is>
          <x:t xml:space="preserve">15</x:t>
        </x:is>
      </x:c>
    </x:row>
    <x:row r="338">
      <x:c r="A338" t="inlineStr">
        <x:is>
          <x:t xml:space="preserve">p15:4.1.1</x:t>
        </x:is>
      </x:c>
      <x:c r="B338" t="inlineStr">
        <x:is>
          <x:t xml:space="preserve">Wall Mounted Normal Simplex Socket 13 A, 2P + E ,230V</x:t>
        </x:is>
      </x:c>
      <x:c r="C338" t="inlineStr">
        <x:is>
          <x:t xml:space="preserve">112.00</x:t>
        </x:is>
      </x:c>
      <x:c r="D338" t="inlineStr">
        <x:is>
          <x:t xml:space="preserve">No.</x:t>
        </x:is>
      </x:c>
      <x:c r="E338" t="inlineStr">
        <x:is>
          <x:t xml:space="preserve"/>
        </x:is>
      </x:c>
      <x:c r="F338" t="inlineStr">
        <x:is>
          <x:t xml:space="preserve">Missing</x:t>
        </x:is>
      </x:c>
      <x:c r="G338" t="inlineStr">
        <x:is>
          <x:t xml:space="preserve">15</x:t>
        </x:is>
      </x:c>
    </x:row>
    <x:row r="339">
      <x:c r="A339" t="inlineStr">
        <x:is>
          <x:t xml:space="preserve">p15:4.1.2</x:t>
        </x:is>
      </x:c>
      <x:c r="B339" t="inlineStr">
        <x:is>
          <x:t xml:space="preserve">Wall Mounted Normal Simplex Socket 13 A, 2P + E ,230V. Weatherproof</x:t>
        </x:is>
      </x:c>
      <x:c r="C339" t="inlineStr">
        <x:is>
          <x:t xml:space="preserve">1.00</x:t>
        </x:is>
      </x:c>
      <x:c r="D339" t="inlineStr">
        <x:is>
          <x:t xml:space="preserve">No.</x:t>
        </x:is>
      </x:c>
      <x:c r="E339" t="inlineStr">
        <x:is>
          <x:t xml:space="preserve"/>
        </x:is>
      </x:c>
      <x:c r="F339" t="inlineStr">
        <x:is>
          <x:t xml:space="preserve">Missing</x:t>
        </x:is>
      </x:c>
      <x:c r="G339" t="inlineStr">
        <x:is>
          <x:t xml:space="preserve">15</x:t>
        </x:is>
      </x:c>
    </x:row>
    <x:row r="340">
      <x:c r="A340" t="inlineStr">
        <x:is>
          <x:t xml:space="preserve">p15:4.1.3</x:t>
        </x:is>
      </x:c>
      <x:c r="B340" t="inlineStr">
        <x:is>
          <x:t xml:space="preserve">Wall Mounted Normal Duplex Socket 13 A, 2P + E ,230V</x:t>
        </x:is>
      </x:c>
      <x:c r="C340" t="inlineStr">
        <x:is>
          <x:t xml:space="preserve">6.00</x:t>
        </x:is>
      </x:c>
      <x:c r="D340" t="inlineStr">
        <x:is>
          <x:t xml:space="preserve">No.</x:t>
        </x:is>
      </x:c>
      <x:c r="E340" t="inlineStr">
        <x:is>
          <x:t xml:space="preserve"/>
        </x:is>
      </x:c>
      <x:c r="F340" t="inlineStr">
        <x:is>
          <x:t xml:space="preserve">Missing</x:t>
        </x:is>
      </x:c>
      <x:c r="G340" t="inlineStr">
        <x:is>
          <x:t xml:space="preserve">15</x:t>
        </x:is>
      </x:c>
    </x:row>
    <x:row r="341">
      <x:c r="A341" t="inlineStr">
        <x:is>
          <x:t xml:space="preserve">p15:4.1.4</x:t>
        </x:is>
      </x:c>
      <x:c r="B341" t="inlineStr">
        <x:is>
          <x:t xml:space="preserve">Wall Mounted Normal Simplex Power Socket 16 A, 2P + E ,230V</x:t>
        </x:is>
      </x:c>
      <x:c r="C341" t="inlineStr">
        <x:is>
          <x:t xml:space="preserve">12.00</x:t>
        </x:is>
      </x:c>
      <x:c r="D341" t="inlineStr">
        <x:is>
          <x:t xml:space="preserve">No.</x:t>
        </x:is>
      </x:c>
      <x:c r="E341" t="inlineStr">
        <x:is>
          <x:t xml:space="preserve"/>
        </x:is>
      </x:c>
      <x:c r="F341" t="inlineStr">
        <x:is>
          <x:t xml:space="preserve">Missing</x:t>
        </x:is>
      </x:c>
      <x:c r="G341" t="inlineStr">
        <x:is>
          <x:t xml:space="preserve">15</x:t>
        </x:is>
      </x:c>
    </x:row>
    <x:row r="342">
      <x:c r="A342" t="inlineStr">
        <x:is>
          <x:t xml:space="preserve">p16:4.1.7</x:t>
        </x:is>
      </x:c>
      <x:c r="B342" t="inlineStr">
        <x:is>
          <x:t xml:space="preserve">Wall Mounted Industrial Three Phase Socket 16A, 4P + E, 380V</x:t>
        </x:is>
      </x:c>
      <x:c r="C342" t="inlineStr">
        <x:is>
          <x:t xml:space="preserve">3.00</x:t>
        </x:is>
      </x:c>
      <x:c r="D342" t="inlineStr">
        <x:is>
          <x:t xml:space="preserve">No.</x:t>
        </x:is>
      </x:c>
      <x:c r="E342" t="inlineStr">
        <x:is>
          <x:t xml:space="preserve">22</x:t>
        </x:is>
      </x:c>
      <x:c r="F342" t="inlineStr">
        <x:is>
          <x:t xml:space="preserve">Covered</x:t>
        </x:is>
      </x:c>
      <x:c r="G342" t="inlineStr">
        <x:is>
          <x:t xml:space="preserve">16</x:t>
        </x:is>
      </x:c>
    </x:row>
    <x:row r="343">
      <x:c r="A343" t="inlineStr">
        <x:is>
          <x:t xml:space="preserve">p16:4.2.1.1</x:t>
        </x:is>
      </x:c>
      <x:c r="B343" t="inlineStr">
        <x:is>
          <x:t xml:space="preserve">Isolating switch rated 16A SPN IP 65, for Heat Pumps</x:t>
        </x:is>
      </x:c>
      <x:c r="C343" t="inlineStr">
        <x:is>
          <x:t xml:space="preserve">7.00</x:t>
        </x:is>
      </x:c>
      <x:c r="D343" t="inlineStr">
        <x:is>
          <x:t xml:space="preserve">No.</x:t>
        </x:is>
      </x:c>
      <x:c r="E343" t="inlineStr">
        <x:is>
          <x:t xml:space="preserve">22</x:t>
        </x:is>
      </x:c>
      <x:c r="F343" t="inlineStr">
        <x:is>
          <x:t xml:space="preserve">Covered</x:t>
        </x:is>
      </x:c>
      <x:c r="G343" t="inlineStr">
        <x:is>
          <x:t xml:space="preserve">16</x:t>
        </x:is>
      </x:c>
    </x:row>
    <x:row r="344">
      <x:c r="A344" t="inlineStr">
        <x:is>
          <x:t xml:space="preserve">p16:4.2.1.2</x:t>
        </x:is>
      </x:c>
      <x:c r="B344" t="inlineStr">
        <x:is>
          <x:t xml:space="preserve">Isolating switch rated 16A SPN IP 65, for Exhaust Air Fans</x:t>
        </x:is>
      </x:c>
      <x:c r="C344" t="inlineStr">
        <x:is>
          <x:t xml:space="preserve">12.00</x:t>
        </x:is>
      </x:c>
      <x:c r="D344" t="inlineStr">
        <x:is>
          <x:t xml:space="preserve">No.</x:t>
        </x:is>
      </x:c>
      <x:c r="E344" t="inlineStr">
        <x:is>
          <x:t xml:space="preserve">22</x:t>
        </x:is>
      </x:c>
      <x:c r="F344" t="inlineStr">
        <x:is>
          <x:t xml:space="preserve">Covered</x:t>
        </x:is>
      </x:c>
      <x:c r="G344" t="inlineStr">
        <x:is>
          <x:t xml:space="preserve">16</x:t>
        </x:is>
      </x:c>
    </x:row>
    <x:row r="345">
      <x:c r="A345" t="inlineStr">
        <x:is>
          <x:t xml:space="preserve">p16:4.2.1.3</x:t>
        </x:is>
      </x:c>
      <x:c r="B345" t="inlineStr">
        <x:is>
          <x:t xml:space="preserve">Isolating switch rated 16A SPN IP 65, for Fresh Air Fans</x:t>
        </x:is>
      </x:c>
      <x:c r="C345" t="inlineStr">
        <x:is>
          <x:t xml:space="preserve">5.00</x:t>
        </x:is>
      </x:c>
      <x:c r="D345" t="inlineStr">
        <x:is>
          <x:t xml:space="preserve">No.</x:t>
        </x:is>
      </x:c>
      <x:c r="E345" t="inlineStr">
        <x:is>
          <x:t xml:space="preserve">22</x:t>
        </x:is>
      </x:c>
      <x:c r="F345" t="inlineStr">
        <x:is>
          <x:t xml:space="preserve">Covered</x:t>
        </x:is>
      </x:c>
      <x:c r="G345" t="inlineStr">
        <x:is>
          <x:t xml:space="preserve">16</x:t>
        </x:is>
      </x:c>
    </x:row>
    <x:row r="346">
      <x:c r="A346" t="inlineStr">
        <x:is>
          <x:t xml:space="preserve">p16:4.2.1.4</x:t>
        </x:is>
      </x:c>
      <x:c r="B346" t="inlineStr">
        <x:is>
          <x:t xml:space="preserve">Isolating switch rated 16A SPN IP 65, for Electric Water Heaters</x:t>
        </x:is>
      </x:c>
      <x:c r="C346" t="inlineStr">
        <x:is>
          <x:t xml:space="preserve">2.00</x:t>
        </x:is>
      </x:c>
      <x:c r="D346" t="inlineStr">
        <x:is>
          <x:t xml:space="preserve">No.</x:t>
        </x:is>
      </x:c>
      <x:c r="E346" t="inlineStr">
        <x:is>
          <x:t xml:space="preserve">22</x:t>
        </x:is>
      </x:c>
      <x:c r="F346" t="inlineStr">
        <x:is>
          <x:t xml:space="preserve">Covered</x:t>
        </x:is>
      </x:c>
      <x:c r="G346" t="inlineStr">
        <x:is>
          <x:t xml:space="preserve">16</x:t>
        </x:is>
      </x:c>
    </x:row>
    <x:row r="347">
      <x:c r="A347" t="inlineStr">
        <x:is>
          <x:t xml:space="preserve">p16:4.2.1.5</x:t>
        </x:is>
      </x:c>
      <x:c r="B347" t="inlineStr">
        <x:is>
          <x:t xml:space="preserve">Isolating switch rated 16A SPN IP 65, for Electric Burners</x:t>
        </x:is>
      </x:c>
      <x:c r="C347" t="inlineStr">
        <x:is>
          <x:t xml:space="preserve">2.00</x:t>
        </x:is>
      </x:c>
      <x:c r="D347" t="inlineStr">
        <x:is>
          <x:t xml:space="preserve">No.</x:t>
        </x:is>
      </x:c>
      <x:c r="E347" t="inlineStr">
        <x:is>
          <x:t xml:space="preserve">22</x:t>
        </x:is>
      </x:c>
      <x:c r="F347" t="inlineStr">
        <x:is>
          <x:t xml:space="preserve">Covered</x:t>
        </x:is>
      </x:c>
      <x:c r="G347" t="inlineStr">
        <x:is>
          <x:t xml:space="preserve">16</x:t>
        </x:is>
      </x:c>
    </x:row>
    <x:row r="348">
      <x:c r="A348" t="inlineStr">
        <x:is>
          <x:t xml:space="preserve">p16:4.2.1.6</x:t>
        </x:is>
      </x:c>
      <x:c r="B348" t="inlineStr">
        <x:is>
          <x:t xml:space="preserve">Isolating switch rated 16A SPN IP 65, for Split Units</x:t>
        </x:is>
      </x:c>
      <x:c r="C348" t="inlineStr">
        <x:is>
          <x:t xml:space="preserve">10.00</x:t>
        </x:is>
      </x:c>
      <x:c r="D348" t="inlineStr">
        <x:is>
          <x:t xml:space="preserve">No.</x:t>
        </x:is>
      </x:c>
      <x:c r="E348" t="inlineStr">
        <x:is>
          <x:t xml:space="preserve">22</x:t>
        </x:is>
      </x:c>
      <x:c r="F348" t="inlineStr">
        <x:is>
          <x:t xml:space="preserve">Covered</x:t>
        </x:is>
      </x:c>
      <x:c r="G348" t="inlineStr">
        <x:is>
          <x:t xml:space="preserve">16</x:t>
        </x:is>
      </x:c>
    </x:row>
    <x:row r="349">
      <x:c r="A349" t="inlineStr">
        <x:is>
          <x:t xml:space="preserve">p16:4.2.1.7</x:t>
        </x:is>
      </x:c>
      <x:c r="B349" t="inlineStr">
        <x:is>
          <x:t xml:space="preserve">Isolating switch rated 16A TPN IP 65, for Two-post Lift</x:t>
        </x:is>
      </x:c>
      <x:c r="C349" t="inlineStr">
        <x:is>
          <x:t xml:space="preserve">1.00</x:t>
        </x:is>
      </x:c>
      <x:c r="D349" t="inlineStr">
        <x:is>
          <x:t xml:space="preserve">No.</x:t>
        </x:is>
      </x:c>
      <x:c r="E349" t="inlineStr">
        <x:is>
          <x:t xml:space="preserve">22</x:t>
        </x:is>
      </x:c>
      <x:c r="F349" t="inlineStr">
        <x:is>
          <x:t xml:space="preserve">Covered</x:t>
        </x:is>
      </x:c>
      <x:c r="G349" t="inlineStr">
        <x:is>
          <x:t xml:space="preserve">16</x:t>
        </x:is>
      </x:c>
    </x:row>
    <x:row r="350">
      <x:c r="A350" t="inlineStr">
        <x:is>
          <x:t xml:space="preserve">p16:4.2.1.8</x:t>
        </x:is>
      </x:c>
      <x:c r="B350" t="inlineStr">
        <x:is>
          <x:t xml:space="preserve">Control Panel for Pump Sets</x:t>
        </x:is>
      </x:c>
      <x:c r="C350" t="inlineStr">
        <x:is>
          <x:t xml:space="preserve">5.00</x:t>
        </x:is>
      </x:c>
      <x:c r="D350" t="inlineStr">
        <x:is>
          <x:t xml:space="preserve">No.</x:t>
        </x:is>
      </x:c>
      <x:c r="E350" t="inlineStr">
        <x:is>
          <x:t xml:space="preserve">22</x:t>
        </x:is>
      </x:c>
      <x:c r="F350" t="inlineStr">
        <x:is>
          <x:t xml:space="preserve">Covered</x:t>
        </x:is>
      </x:c>
      <x:c r="G350" t="inlineStr">
        <x:is>
          <x:t xml:space="preserve">16</x:t>
        </x:is>
      </x:c>
    </x:row>
    <x:row r="351">
      <x:c r="A351" t="inlineStr">
        <x:is>
          <x:t xml:space="preserve">p16:4.2.2.1</x:t>
        </x:is>
      </x:c>
      <x:c r="B351" t="inlineStr">
        <x:is>
          <x:t xml:space="preserve">Isolating switch rated 32A TPN IP 65, for Lift</x:t>
        </x:is>
      </x:c>
      <x:c r="C351" t="inlineStr">
        <x:is>
          <x:t xml:space="preserve">1.00</x:t>
        </x:is>
      </x:c>
      <x:c r="D351" t="inlineStr">
        <x:is>
          <x:t xml:space="preserve">No.</x:t>
        </x:is>
      </x:c>
      <x:c r="E351" t="inlineStr">
        <x:is>
          <x:t xml:space="preserve">22,27</x:t>
        </x:is>
      </x:c>
      <x:c r="F351" t="inlineStr">
        <x:is>
          <x:t xml:space="preserve">Requires Clarification</x:t>
        </x:is>
      </x:c>
      <x:c r="G351" t="inlineStr">
        <x:is>
          <x:t xml:space="preserve">16</x:t>
        </x:is>
      </x:c>
    </x:row>
    <x:row r="352">
      <x:c r="A352" t="inlineStr">
        <x:is>
          <x:t xml:space="preserve">p16:4.2.2.2</x:t>
        </x:is>
      </x:c>
      <x:c r="B352" t="inlineStr">
        <x:is>
          <x:t xml:space="preserve">Control Panel for Pump Sets</x:t>
        </x:is>
      </x:c>
      <x:c r="C352" t="inlineStr">
        <x:is>
          <x:t xml:space="preserve">1.00</x:t>
        </x:is>
      </x:c>
      <x:c r="D352" t="inlineStr">
        <x:is>
          <x:t xml:space="preserve">No.</x:t>
        </x:is>
      </x:c>
      <x:c r="E352" t="inlineStr">
        <x:is>
          <x:t xml:space="preserve">22</x:t>
        </x:is>
      </x:c>
      <x:c r="F352" t="inlineStr">
        <x:is>
          <x:t xml:space="preserve">Covered</x:t>
        </x:is>
      </x:c>
      <x:c r="G352" t="inlineStr">
        <x:is>
          <x:t xml:space="preserve">16</x:t>
        </x:is>
      </x:c>
    </x:row>
    <x:row r="353">
      <x:c r="A353" t="inlineStr">
        <x:is>
          <x:t xml:space="preserve">p16:4.3.1</x:t>
        </x:is>
      </x:c>
      <x:c r="B353" t="inlineStr">
        <x:is>
          <x:t xml:space="preserve">Ceiling Mounted Electrical outlet box for Ceiling Fans</x:t>
        </x:is>
      </x:c>
      <x:c r="C353" t="inlineStr">
        <x:is>
          <x:t xml:space="preserve">61.00</x:t>
        </x:is>
      </x:c>
      <x:c r="D353" t="inlineStr">
        <x:is>
          <x:t xml:space="preserve">No.</x:t>
        </x:is>
      </x:c>
      <x:c r="E353" t="inlineStr">
        <x:is>
          <x:t xml:space="preserve">22</x:t>
        </x:is>
      </x:c>
      <x:c r="F353" t="inlineStr">
        <x:is>
          <x:t xml:space="preserve">Covered</x:t>
        </x:is>
      </x:c>
      <x:c r="G353" t="inlineStr">
        <x:is>
          <x:t xml:space="preserve">16</x:t>
        </x:is>
      </x:c>
    </x:row>
    <x:row r="354">
      <x:c r="A354" t="inlineStr">
        <x:is>
          <x:t xml:space="preserve">p16:4.3.2</x:t>
        </x:is>
      </x:c>
      <x:c r="B354" t="inlineStr">
        <x:is>
          <x:t xml:space="preserve">Ceiling Mounted Electrical outlet box for Screen Projectors</x:t>
        </x:is>
      </x:c>
      <x:c r="C354" t="inlineStr">
        <x:is>
          <x:t xml:space="preserve">3.00</x:t>
        </x:is>
      </x:c>
      <x:c r="D354" t="inlineStr">
        <x:is>
          <x:t xml:space="preserve">No.</x:t>
        </x:is>
      </x:c>
      <x:c r="E354" t="inlineStr">
        <x:is>
          <x:t xml:space="preserve">22</x:t>
        </x:is>
      </x:c>
      <x:c r="F354" t="inlineStr">
        <x:is>
          <x:t xml:space="preserve">Covered</x:t>
        </x:is>
      </x:c>
      <x:c r="G354" t="inlineStr">
        <x:is>
          <x:t xml:space="preserve">16</x:t>
        </x:is>
      </x:c>
    </x:row>
    <x:row r="355">
      <x:c r="A355" t="inlineStr">
        <x:is>
          <x:t xml:space="preserve">p16:4.3.3</x:t>
        </x:is>
      </x:c>
      <x:c r="B355" t="inlineStr">
        <x:is>
          <x:t xml:space="preserve">Wall Mounted Electrical outlet box for Hand Dryers</x:t>
        </x:is>
      </x:c>
      <x:c r="C355" t="inlineStr">
        <x:is>
          <x:t xml:space="preserve">8.00</x:t>
        </x:is>
      </x:c>
      <x:c r="D355" t="inlineStr">
        <x:is>
          <x:t xml:space="preserve">No.</x:t>
        </x:is>
      </x:c>
      <x:c r="E355" t="inlineStr">
        <x:is>
          <x:t xml:space="preserve">22</x:t>
        </x:is>
      </x:c>
      <x:c r="F355" t="inlineStr">
        <x:is>
          <x:t xml:space="preserve">Covered</x:t>
        </x:is>
      </x:c>
      <x:c r="G355" t="inlineStr">
        <x:is>
          <x:t xml:space="preserve">16</x:t>
        </x:is>
      </x:c>
    </x:row>
    <x:row r="356">
      <x:c r="A356" t="inlineStr">
        <x:is>
          <x:t xml:space="preserve">p16:4.4.1</x:t>
        </x:is>
      </x:c>
      <x:c r="B356" t="inlineStr">
        <x:is>
          <x:t xml:space="preserve">Wall mounted one way, one gang light switch</x:t>
        </x:is>
      </x:c>
      <x:c r="C356" t="inlineStr">
        <x:is>
          <x:t xml:space="preserve">55.00</x:t>
        </x:is>
      </x:c>
      <x:c r="D356" t="inlineStr">
        <x:is>
          <x:t xml:space="preserve">No.</x:t>
        </x:is>
      </x:c>
      <x:c r="E356" t="inlineStr">
        <x:is>
          <x:t xml:space="preserve">22</x:t>
        </x:is>
      </x:c>
      <x:c r="F356" t="inlineStr">
        <x:is>
          <x:t xml:space="preserve">Covered</x:t>
        </x:is>
      </x:c>
      <x:c r="G356" t="inlineStr">
        <x:is>
          <x:t xml:space="preserve">16</x:t>
        </x:is>
      </x:c>
    </x:row>
    <x:row r="357">
      <x:c r="A357" t="inlineStr">
        <x:is>
          <x:t xml:space="preserve">p16:4.4.2</x:t>
        </x:is>
      </x:c>
      <x:c r="B357" t="inlineStr">
        <x:is>
          <x:t xml:space="preserve">Wall mounted two-way, one gang light switch</x:t>
        </x:is>
      </x:c>
      <x:c r="C357" t="inlineStr">
        <x:is>
          <x:t xml:space="preserve">12.00</x:t>
        </x:is>
      </x:c>
      <x:c r="D357" t="inlineStr">
        <x:is>
          <x:t xml:space="preserve">No.</x:t>
        </x:is>
      </x:c>
      <x:c r="E357" t="inlineStr">
        <x:is>
          <x:t xml:space="preserve">22</x:t>
        </x:is>
      </x:c>
      <x:c r="F357" t="inlineStr">
        <x:is>
          <x:t xml:space="preserve">Covered</x:t>
        </x:is>
      </x:c>
      <x:c r="G357" t="inlineStr">
        <x:is>
          <x:t xml:space="preserve">16</x:t>
        </x:is>
      </x:c>
    </x:row>
    <x:row r="358">
      <x:c r="A358" t="inlineStr">
        <x:is>
          <x:t xml:space="preserve">p16:4.4.3</x:t>
        </x:is>
      </x:c>
      <x:c r="B358" t="inlineStr">
        <x:is>
          <x:t xml:space="preserve">Wall mounted one way, one gang light switch waterproof</x:t>
        </x:is>
      </x:c>
      <x:c r="C358" t="inlineStr">
        <x:is>
          <x:t xml:space="preserve">26.00</x:t>
        </x:is>
      </x:c>
      <x:c r="D358" t="inlineStr">
        <x:is>
          <x:t xml:space="preserve">No.</x:t>
        </x:is>
      </x:c>
      <x:c r="E358" t="inlineStr">
        <x:is>
          <x:t xml:space="preserve">22</x:t>
        </x:is>
      </x:c>
      <x:c r="F358" t="inlineStr">
        <x:is>
          <x:t xml:space="preserve">Covered</x:t>
        </x:is>
      </x:c>
      <x:c r="G358" t="inlineStr">
        <x:is>
          <x:t xml:space="preserve">16</x:t>
        </x:is>
      </x:c>
    </x:row>
    <x:row r="359">
      <x:c r="A359" t="inlineStr">
        <x:is>
          <x:t xml:space="preserve">p16:4.4.4</x:t>
        </x:is>
      </x:c>
      <x:c r="B359" t="inlineStr">
        <x:is>
          <x:t xml:space="preserve">Ceiling Motion Detector</x:t>
        </x:is>
      </x:c>
      <x:c r="C359" t="inlineStr">
        <x:is>
          <x:t xml:space="preserve">5.00</x:t>
        </x:is>
      </x:c>
      <x:c r="D359" t="inlineStr">
        <x:is>
          <x:t xml:space="preserve">No.</x:t>
        </x:is>
      </x:c>
      <x:c r="E359" t="inlineStr">
        <x:is>
          <x:t xml:space="preserve">22</x:t>
        </x:is>
      </x:c>
      <x:c r="F359" t="inlineStr">
        <x:is>
          <x:t xml:space="preserve">Covered</x:t>
        </x:is>
      </x:c>
      <x:c r="G359" t="inlineStr">
        <x:is>
          <x:t xml:space="preserve">16</x:t>
        </x:is>
      </x:c>
    </x:row>
    <x:row r="360">
      <x:c r="A360" t="inlineStr">
        <x:is>
          <x:t xml:space="preserve">p16:4.4.5</x:t>
        </x:is>
      </x:c>
      <x:c r="B360" t="inlineStr">
        <x:is>
          <x:t xml:space="preserve">Fan Switches</x:t>
        </x:is>
      </x:c>
      <x:c r="C360" t="inlineStr">
        <x:is>
          <x:t xml:space="preserve">59.00</x:t>
        </x:is>
      </x:c>
      <x:c r="D360" t="inlineStr">
        <x:is>
          <x:t xml:space="preserve">No.</x:t>
        </x:is>
      </x:c>
      <x:c r="E360" t="inlineStr">
        <x:is>
          <x:t xml:space="preserve">22</x:t>
        </x:is>
      </x:c>
      <x:c r="F360" t="inlineStr">
        <x:is>
          <x:t xml:space="preserve">Covered</x:t>
        </x:is>
      </x:c>
      <x:c r="G360" t="inlineStr">
        <x:is>
          <x:t xml:space="preserve">16</x:t>
        </x:is>
      </x:c>
    </x:row>
    <x:row r="361">
      <x:c r="A361" t="inlineStr">
        <x:is>
          <x:t xml:space="preserve">p17:5.1.2</x:t>
        </x:is>
      </x:c>
      <x:c r="B361" t="inlineStr">
        <x:is>
          <x:t xml:space="preserve">Recessed Mounted Luminaire Housing, 60x60 cm 34W Led Type,</x:t>
        </x:is>
      </x:c>
      <x:c r="C361" t="inlineStr">
        <x:is>
          <x:t xml:space="preserve">24.00</x:t>
        </x:is>
      </x:c>
      <x:c r="D361" t="inlineStr">
        <x:is>
          <x:t xml:space="preserve">No.</x:t>
        </x:is>
      </x:c>
      <x:c r="E361" t="inlineStr">
        <x:is>
          <x:t xml:space="preserve">22</x:t>
        </x:is>
      </x:c>
      <x:c r="F361" t="inlineStr">
        <x:is>
          <x:t xml:space="preserve">Covered</x:t>
        </x:is>
      </x:c>
      <x:c r="G361" t="inlineStr">
        <x:is>
          <x:t xml:space="preserve">17</x:t>
        </x:is>
      </x:c>
    </x:row>
    <x:row r="362">
      <x:c r="A362" t="inlineStr">
        <x:is>
          <x:t xml:space="preserve">p17:5.1.11</x:t>
        </x:is>
      </x:c>
      <x:c r="B362" t="inlineStr">
        <x:is>
          <x:t xml:space="preserve">Suspended 120cm Led lighting fixture, 28.5W, IP65, used in roof floor</x:t>
        </x:is>
      </x:c>
      <x:c r="C362" t="inlineStr">
        <x:is>
          <x:t xml:space="preserve">11.00</x:t>
        </x:is>
      </x:c>
      <x:c r="D362" t="inlineStr">
        <x:is>
          <x:t xml:space="preserve">No.</x:t>
        </x:is>
      </x:c>
      <x:c r="E362" t="inlineStr">
        <x:is>
          <x:t xml:space="preserve">22</x:t>
        </x:is>
      </x:c>
      <x:c r="F362" t="inlineStr">
        <x:is>
          <x:t xml:space="preserve">Covered</x:t>
        </x:is>
      </x:c>
      <x:c r="G362" t="inlineStr">
        <x:is>
          <x:t xml:space="preserve">17</x:t>
        </x:is>
      </x:c>
    </x:row>
    <x:row r="363">
      <x:c r="A363" t="inlineStr">
        <x:is>
          <x:t xml:space="preserve">p17:6.1.1</x:t>
        </x:is>
      </x:c>
      <x:c r="B363" t="inlineStr">
        <x:is>
          <x:t xml:space="preserve">50mm2 Bare Copper Conductor Underground</x:t>
        </x:is>
      </x:c>
      <x:c r="C363" t="inlineStr">
        <x:is>
          <x:t xml:space="preserve">158.00</x:t>
        </x:is>
      </x:c>
      <x:c r="D363" t="inlineStr">
        <x:is>
          <x:t xml:space="preserve">Lm</x:t>
        </x:is>
      </x:c>
      <x:c r="E363" t="inlineStr">
        <x:is>
          <x:t xml:space="preserve">13</x:t>
        </x:is>
      </x:c>
      <x:c r="F363" t="inlineStr">
        <x:is>
          <x:t xml:space="preserve">Covered</x:t>
        </x:is>
      </x:c>
      <x:c r="G363" t="inlineStr">
        <x:is>
          <x:t xml:space="preserve">17</x:t>
        </x:is>
      </x:c>
    </x:row>
    <x:row r="364">
      <x:c r="A364" t="inlineStr">
        <x:is>
          <x:t xml:space="preserve">p17:6.1.2</x:t>
        </x:is>
      </x:c>
      <x:c r="B364" t="inlineStr">
        <x:is>
          <x:t xml:space="preserve">50mm2 Down Bare Copper Conductor from PV</x:t>
        </x:is>
      </x:c>
      <x:c r="C364" t="inlineStr">
        <x:is>
          <x:t xml:space="preserve">26.00</x:t>
        </x:is>
      </x:c>
      <x:c r="D364" t="inlineStr">
        <x:is>
          <x:t xml:space="preserve">Lm</x:t>
        </x:is>
      </x:c>
      <x:c r="E364" t="inlineStr">
        <x:is>
          <x:t xml:space="preserve">13</x:t>
        </x:is>
      </x:c>
      <x:c r="F364" t="inlineStr">
        <x:is>
          <x:t xml:space="preserve">Covered</x:t>
        </x:is>
      </x:c>
      <x:c r="G364" t="inlineStr">
        <x:is>
          <x:t xml:space="preserve">17</x:t>
        </x:is>
      </x:c>
    </x:row>
    <x:row r="365">
      <x:c r="A365" t="inlineStr">
        <x:is>
          <x:t xml:space="preserve">p17:6.1.3</x:t>
        </x:is>
      </x:c>
      <x:c r="B365" t="inlineStr">
        <x:is>
          <x:t xml:space="preserve">Earth Rod</x:t>
        </x:is>
      </x:c>
      <x:c r="C365" t="inlineStr">
        <x:is>
          <x:t xml:space="preserve">12.00</x:t>
        </x:is>
      </x:c>
      <x:c r="D365" t="inlineStr">
        <x:is>
          <x:t xml:space="preserve">No.</x:t>
        </x:is>
      </x:c>
      <x:c r="E365" t="inlineStr">
        <x:is>
          <x:t xml:space="preserve">13</x:t>
        </x:is>
      </x:c>
      <x:c r="F365" t="inlineStr">
        <x:is>
          <x:t xml:space="preserve">Covered</x:t>
        </x:is>
      </x:c>
      <x:c r="G365" t="inlineStr">
        <x:is>
          <x:t xml:space="preserve">17</x:t>
        </x:is>
      </x:c>
    </x:row>
    <x:row r="366">
      <x:c r="A366" t="inlineStr">
        <x:is>
          <x:t xml:space="preserve">p17:6.1.4</x:t>
        </x:is>
      </x:c>
      <x:c r="B366" t="inlineStr">
        <x:is>
          <x:t xml:space="preserve">Accessories, Test Links, Earth Bar etc…</x:t>
        </x:is>
      </x:c>
      <x:c r="C366" t="inlineStr">
        <x:is>
          <x:t xml:space="preserve">1.00</x:t>
        </x:is>
      </x:c>
      <x:c r="D366" t="inlineStr">
        <x:is>
          <x:t xml:space="preserve">LS</x:t>
        </x:is>
      </x:c>
      <x:c r="E366" t="inlineStr">
        <x:is>
          <x:t xml:space="preserve">13</x:t>
        </x:is>
      </x:c>
      <x:c r="F366" t="inlineStr">
        <x:is>
          <x:t xml:space="preserve">Covered</x:t>
        </x:is>
      </x:c>
      <x:c r="G366" t="inlineStr">
        <x:is>
          <x:t xml:space="preserve">17</x:t>
        </x:is>
      </x:c>
    </x:row>
    <x:row r="367">
      <x:c r="A367" t="inlineStr">
        <x:is>
          <x:t xml:space="preserve">p17:6.1.5</x:t>
        </x:is>
      </x:c>
      <x:c r="B367" t="inlineStr">
        <x:is>
          <x:t xml:space="preserve">40cmx40cm Concrete Manhole for earth pit</x:t>
        </x:is>
      </x:c>
      <x:c r="C367" t="inlineStr">
        <x:is>
          <x:t xml:space="preserve">3.00</x:t>
        </x:is>
      </x:c>
      <x:c r="D367" t="inlineStr">
        <x:is>
          <x:t xml:space="preserve">No.</x:t>
        </x:is>
      </x:c>
      <x:c r="E367" t="inlineStr">
        <x:is>
          <x:t xml:space="preserve">13</x:t>
        </x:is>
      </x:c>
      <x:c r="F367" t="inlineStr">
        <x:is>
          <x:t xml:space="preserve">Covered</x:t>
        </x:is>
      </x:c>
      <x:c r="G367" t="inlineStr">
        <x:is>
          <x:t xml:space="preserve">17</x:t>
        </x:is>
      </x:c>
    </x:row>
    <x:row r="368">
      <x:c r="A368" t="inlineStr">
        <x:is>
          <x:t xml:space="preserve">p17:6.1.6</x:t>
        </x:is>
      </x:c>
      <x:c r="B368" t="inlineStr">
        <x:is>
          <x:t xml:space="preserve">Manpower and Profit</x:t>
        </x:is>
      </x:c>
      <x:c r="C368" t="inlineStr">
        <x:is>
          <x:t xml:space="preserve">1.00</x:t>
        </x:is>
      </x:c>
      <x:c r="D368" t="inlineStr">
        <x:is>
          <x:t xml:space="preserve">LS</x:t>
        </x:is>
      </x:c>
      <x:c r="E368" t="inlineStr">
        <x:is>
          <x:t xml:space="preserve"/>
        </x:is>
      </x:c>
      <x:c r="F368" t="inlineStr">
        <x:is>
          <x:t xml:space="preserve">Missing</x:t>
        </x:is>
      </x:c>
      <x:c r="G368" t="inlineStr">
        <x:is>
          <x:t xml:space="preserve">17</x:t>
        </x:is>
      </x:c>
    </x:row>
    <x:row r="369">
      <x:c r="A369" t="inlineStr">
        <x:is>
          <x:t xml:space="preserve">p18:6.2</x:t>
        </x:is>
      </x:c>
      <x:c r="B369" t="inlineStr">
        <x:is>
          <x:t xml:space="preserve">Soil Resistivity Test</x:t>
        </x:is>
      </x:c>
      <x:c r="C369" t="inlineStr">
        <x:is>
          <x:t xml:space="preserve">1.00</x:t>
        </x:is>
      </x:c>
      <x:c r="D369" t="inlineStr">
        <x:is>
          <x:t xml:space="preserve">LS</x:t>
        </x:is>
      </x:c>
      <x:c r="E369" t="inlineStr">
        <x:is>
          <x:t xml:space="preserve">13</x:t>
        </x:is>
      </x:c>
      <x:c r="F369" t="inlineStr">
        <x:is>
          <x:t xml:space="preserve">Covered</x:t>
        </x:is>
      </x:c>
      <x:c r="G369" t="inlineStr">
        <x:is>
          <x:t xml:space="preserve">18</x:t>
        </x:is>
      </x:c>
    </x:row>
    <x:row r="370">
      <x:c r="A370" t="inlineStr">
        <x:is>
          <x:t xml:space="preserve">p18:7.2</x:t>
        </x:is>
      </x:c>
      <x:c r="B370" t="inlineStr">
        <x:is>
          <x:t xml:space="preserve">3*25mm Down Bare Copper Tape Conductor</x:t>
        </x:is>
      </x:c>
      <x:c r="C370" t="inlineStr">
        <x:is>
          <x:t xml:space="preserve">88.00</x:t>
        </x:is>
      </x:c>
      <x:c r="D370" t="inlineStr">
        <x:is>
          <x:t xml:space="preserve">Lm</x:t>
        </x:is>
      </x:c>
      <x:c r="E370" t="inlineStr">
        <x:is>
          <x:t xml:space="preserve">13</x:t>
        </x:is>
      </x:c>
      <x:c r="F370" t="inlineStr">
        <x:is>
          <x:t xml:space="preserve">Covered</x:t>
        </x:is>
      </x:c>
      <x:c r="G370" t="inlineStr">
        <x:is>
          <x:t xml:space="preserve">18</x:t>
        </x:is>
      </x:c>
    </x:row>
    <x:row r="371">
      <x:c r="A371" t="inlineStr">
        <x:is>
          <x:t xml:space="preserve">p18:7.3</x:t>
        </x:is>
      </x:c>
      <x:c r="B371" t="inlineStr">
        <x:is>
          <x:t xml:space="preserve">Earth Rod</x:t>
        </x:is>
      </x:c>
      <x:c r="C371" t="inlineStr">
        <x:is>
          <x:t xml:space="preserve">12.00</x:t>
        </x:is>
      </x:c>
      <x:c r="D371" t="inlineStr">
        <x:is>
          <x:t xml:space="preserve">No.</x:t>
        </x:is>
      </x:c>
      <x:c r="E371" t="inlineStr">
        <x:is>
          <x:t xml:space="preserve">13</x:t>
        </x:is>
      </x:c>
      <x:c r="F371" t="inlineStr">
        <x:is>
          <x:t xml:space="preserve">Covered</x:t>
        </x:is>
      </x:c>
      <x:c r="G371" t="inlineStr">
        <x:is>
          <x:t xml:space="preserve">18</x:t>
        </x:is>
      </x:c>
    </x:row>
    <x:row r="372">
      <x:c r="A372" t="inlineStr">
        <x:is>
          <x:t xml:space="preserve">p18:7.4</x:t>
        </x:is>
      </x:c>
      <x:c r="B372" t="inlineStr">
        <x:is>
          <x:t xml:space="preserve">Accessories, Test Links etc</x:t>
        </x:is>
      </x:c>
      <x:c r="C372" t="inlineStr">
        <x:is>
          <x:t xml:space="preserve">1.00</x:t>
        </x:is>
      </x:c>
      <x:c r="D372" t="inlineStr">
        <x:is>
          <x:t xml:space="preserve">LS</x:t>
        </x:is>
      </x:c>
      <x:c r="E372" t="inlineStr">
        <x:is>
          <x:t xml:space="preserve">13</x:t>
        </x:is>
      </x:c>
      <x:c r="F372" t="inlineStr">
        <x:is>
          <x:t xml:space="preserve">Covered</x:t>
        </x:is>
      </x:c>
      <x:c r="G372" t="inlineStr">
        <x:is>
          <x:t xml:space="preserve">18</x:t>
        </x:is>
      </x:c>
    </x:row>
    <x:row r="373">
      <x:c r="A373" t="inlineStr">
        <x:is>
          <x:t xml:space="preserve">p18:7.5</x:t>
        </x:is>
      </x:c>
      <x:c r="B373" t="inlineStr">
        <x:is>
          <x:t xml:space="preserve">40cmx40cm Precast Concrete Manhole for earth pit</x:t>
        </x:is>
      </x:c>
      <x:c r="C373" t="inlineStr">
        <x:is>
          <x:t xml:space="preserve">2.00</x:t>
        </x:is>
      </x:c>
      <x:c r="D373" t="inlineStr">
        <x:is>
          <x:t xml:space="preserve">No.</x:t>
        </x:is>
      </x:c>
      <x:c r="E373" t="inlineStr">
        <x:is>
          <x:t xml:space="preserve">13</x:t>
        </x:is>
      </x:c>
      <x:c r="F373" t="inlineStr">
        <x:is>
          <x:t xml:space="preserve">Covered</x:t>
        </x:is>
      </x:c>
      <x:c r="G373" t="inlineStr">
        <x:is>
          <x:t xml:space="preserve">18</x:t>
        </x:is>
      </x:c>
    </x:row>
    <x:row r="374">
      <x:c r="A374" t="inlineStr">
        <x:is>
          <x:t xml:space="preserve">p18:7.6</x:t>
        </x:is>
      </x:c>
      <x:c r="B374" t="inlineStr">
        <x:is>
          <x:t xml:space="preserve">Early Streamer Emission:Air Terminal</x:t>
        </x:is>
      </x:c>
      <x:c r="C374" t="inlineStr">
        <x:is>
          <x:t xml:space="preserve">1.00</x:t>
        </x:is>
      </x:c>
      <x:c r="D374" t="inlineStr">
        <x:is>
          <x:t xml:space="preserve">No.</x:t>
        </x:is>
      </x:c>
      <x:c r="E374" t="inlineStr">
        <x:is>
          <x:t xml:space="preserve">13</x:t>
        </x:is>
      </x:c>
      <x:c r="F374" t="inlineStr">
        <x:is>
          <x:t xml:space="preserve">Covered</x:t>
        </x:is>
      </x:c>
      <x:c r="G374" t="inlineStr">
        <x:is>
          <x:t xml:space="preserve">18</x:t>
        </x:is>
      </x:c>
    </x:row>
    <x:row r="375">
      <x:c r="A375" t="inlineStr">
        <x:is>
          <x:t xml:space="preserve">p18:7.7</x:t>
        </x:is>
      </x:c>
      <x:c r="B375" t="inlineStr">
        <x:is>
          <x:t xml:space="preserve">Manpower and Profit</x:t>
        </x:is>
      </x:c>
      <x:c r="C375" t="inlineStr">
        <x:is>
          <x:t xml:space="preserve">1.00</x:t>
        </x:is>
      </x:c>
      <x:c r="D375" t="inlineStr">
        <x:is>
          <x:t xml:space="preserve">LS</x:t>
        </x:is>
      </x:c>
      <x:c r="E375" t="inlineStr">
        <x:is>
          <x:t xml:space="preserve">13</x:t>
        </x:is>
      </x:c>
      <x:c r="F375" t="inlineStr">
        <x:is>
          <x:t xml:space="preserve">Covered</x:t>
        </x:is>
      </x:c>
      <x:c r="G375" t="inlineStr">
        <x:is>
          <x:t xml:space="preserve">18</x:t>
        </x:is>
      </x:c>
    </x:row>
    <x:row r="376">
      <x:c r="A376" t="inlineStr">
        <x:is>
          <x:t xml:space="preserve">p18:8.1.1</x:t>
        </x:is>
      </x:c>
      <x:c r="B376" t="inlineStr">
        <x:is>
          <x:t xml:space="preserve">Three phase hybrid inverter 50KW</x:t>
        </x:is>
      </x:c>
      <x:c r="C376" t="inlineStr">
        <x:is>
          <x:t xml:space="preserve">1.00</x:t>
        </x:is>
      </x:c>
      <x:c r="D376" t="inlineStr">
        <x:is>
          <x:t xml:space="preserve">No.</x:t>
        </x:is>
      </x:c>
      <x:c r="E376" t="inlineStr">
        <x:is>
          <x:t xml:space="preserve">25</x:t>
        </x:is>
      </x:c>
      <x:c r="F376" t="inlineStr">
        <x:is>
          <x:t xml:space="preserve">Covered</x:t>
        </x:is>
      </x:c>
      <x:c r="G376" t="inlineStr">
        <x:is>
          <x:t xml:space="preserve">18</x:t>
        </x:is>
      </x:c>
    </x:row>
    <x:row r="377">
      <x:c r="A377" t="inlineStr">
        <x:is>
          <x:t xml:space="preserve">p18:8.1.2</x:t>
        </x:is>
      </x:c>
      <x:c r="B377" t="inlineStr">
        <x:is>
          <x:t xml:space="preserve">100 kW high voltage lithium battery rack</x:t>
        </x:is>
      </x:c>
      <x:c r="C377" t="inlineStr">
        <x:is>
          <x:t xml:space="preserve">1.00</x:t>
        </x:is>
      </x:c>
      <x:c r="D377" t="inlineStr">
        <x:is>
          <x:t xml:space="preserve">No.</x:t>
        </x:is>
      </x:c>
      <x:c r="E377" t="inlineStr">
        <x:is>
          <x:t xml:space="preserve">25</x:t>
        </x:is>
      </x:c>
      <x:c r="F377" t="inlineStr">
        <x:is>
          <x:t xml:space="preserve">Covered</x:t>
        </x:is>
      </x:c>
      <x:c r="G377" t="inlineStr">
        <x:is>
          <x:t xml:space="preserve">18</x:t>
        </x:is>
      </x:c>
    </x:row>
    <x:row r="378">
      <x:c r="A378" t="inlineStr">
        <x:is>
          <x:t xml:space="preserve">p18:8.1.3</x:t>
        </x:is>
      </x:c>
      <x:c r="B378" t="inlineStr">
        <x:is>
          <x:t xml:space="preserve">Monocrystalline PV panel 550W</x:t>
        </x:is>
      </x:c>
      <x:c r="C378" t="inlineStr">
        <x:is>
          <x:t xml:space="preserve">93.00</x:t>
        </x:is>
      </x:c>
      <x:c r="D378" t="inlineStr">
        <x:is>
          <x:t xml:space="preserve">No.</x:t>
        </x:is>
      </x:c>
      <x:c r="E378" t="inlineStr">
        <x:is>
          <x:t xml:space="preserve">25</x:t>
        </x:is>
      </x:c>
      <x:c r="F378" t="inlineStr">
        <x:is>
          <x:t xml:space="preserve">Covered</x:t>
        </x:is>
      </x:c>
      <x:c r="G378" t="inlineStr">
        <x:is>
          <x:t xml:space="preserve">18</x:t>
        </x:is>
      </x:c>
    </x:row>
    <x:row r="379">
      <x:c r="A379" t="inlineStr">
        <x:is>
          <x:t xml:space="preserve">p18:8.1.4</x:t>
        </x:is>
      </x:c>
      <x:c r="B379" t="inlineStr">
        <x:is>
          <x:t xml:space="preserve">PV DC Panel including DC surge protector /Arrestor/breaker and fuses</x:t>
        </x:is>
      </x:c>
      <x:c r="C379" t="inlineStr">
        <x:is>
          <x:t xml:space="preserve">1.00</x:t>
        </x:is>
      </x:c>
      <x:c r="D379" t="inlineStr">
        <x:is>
          <x:t xml:space="preserve">No.</x:t>
        </x:is>
      </x:c>
      <x:c r="E379" t="inlineStr">
        <x:is>
          <x:t xml:space="preserve">25</x:t>
        </x:is>
      </x:c>
      <x:c r="F379" t="inlineStr">
        <x:is>
          <x:t xml:space="preserve">Covered</x:t>
        </x:is>
      </x:c>
      <x:c r="G379" t="inlineStr">
        <x:is>
          <x:t xml:space="preserve">18</x:t>
        </x:is>
      </x:c>
    </x:row>
    <x:row r="380">
      <x:c r="A380" t="inlineStr">
        <x:is>
          <x:t xml:space="preserve">p18:8.1.5</x:t>
        </x:is>
      </x:c>
      <x:c r="B380" t="inlineStr">
        <x:is>
          <x:t xml:space="preserve">Electric Cleaning Toolkit for solar panels</x:t>
        </x:is>
      </x:c>
      <x:c r="C380" t="inlineStr">
        <x:is>
          <x:t xml:space="preserve">1.00</x:t>
        </x:is>
      </x:c>
      <x:c r="D380" t="inlineStr">
        <x:is>
          <x:t xml:space="preserve">Item</x:t>
        </x:is>
      </x:c>
      <x:c r="E380" t="inlineStr">
        <x:is>
          <x:t xml:space="preserve">25</x:t>
        </x:is>
      </x:c>
      <x:c r="F380" t="inlineStr">
        <x:is>
          <x:t xml:space="preserve">Covered</x:t>
        </x:is>
      </x:c>
      <x:c r="G380" t="inlineStr">
        <x:is>
          <x:t xml:space="preserve">18</x:t>
        </x:is>
      </x:c>
    </x:row>
    <x:row r="381">
      <x:c r="A381" t="inlineStr">
        <x:is>
          <x:t xml:space="preserve">p18:8.1.7</x:t>
        </x:is>
      </x:c>
      <x:c r="B381" t="inlineStr">
        <x:is>
          <x:t xml:space="preserve">6mm2 THWN-2 RED/insulated copper cable</x:t>
        </x:is>
      </x:c>
      <x:c r="C381" t="inlineStr">
        <x:is>
          <x:t xml:space="preserve">577.50</x:t>
        </x:is>
      </x:c>
      <x:c r="D381" t="inlineStr">
        <x:is>
          <x:t xml:space="preserve">Lm</x:t>
        </x:is>
      </x:c>
      <x:c r="E381" t="inlineStr">
        <x:is>
          <x:t xml:space="preserve">25</x:t>
        </x:is>
      </x:c>
      <x:c r="F381" t="inlineStr">
        <x:is>
          <x:t xml:space="preserve">Covered</x:t>
        </x:is>
      </x:c>
      <x:c r="G381" t="inlineStr">
        <x:is>
          <x:t xml:space="preserve">18</x:t>
        </x:is>
      </x:c>
    </x:row>
    <x:row r="382">
      <x:c r="A382" t="inlineStr">
        <x:is>
          <x:t xml:space="preserve">p18:8.1.8</x:t>
        </x:is>
      </x:c>
      <x:c r="B382" t="inlineStr">
        <x:is>
          <x:t xml:space="preserve">6mm2 THWN-2 Black/insulated copper cable</x:t>
        </x:is>
      </x:c>
      <x:c r="C382" t="inlineStr">
        <x:is>
          <x:t xml:space="preserve">577.50</x:t>
        </x:is>
      </x:c>
      <x:c r="D382" t="inlineStr">
        <x:is>
          <x:t xml:space="preserve">Lm</x:t>
        </x:is>
      </x:c>
      <x:c r="E382" t="inlineStr">
        <x:is>
          <x:t xml:space="preserve">25</x:t>
        </x:is>
      </x:c>
      <x:c r="F382" t="inlineStr">
        <x:is>
          <x:t xml:space="preserve">Covered</x:t>
        </x:is>
      </x:c>
      <x:c r="G382" t="inlineStr">
        <x:is>
          <x:t xml:space="preserve">18</x:t>
        </x:is>
      </x:c>
    </x:row>
    <x:row r="383">
      <x:c r="A383" t="inlineStr">
        <x:is>
          <x:t xml:space="preserve">p18:8.1.9</x:t>
        </x:is>
      </x:c>
      <x:c r="B383" t="inlineStr">
        <x:is>
          <x:t xml:space="preserve">25mm2 THWN-2 RED/insulated copper cable</x:t>
        </x:is>
      </x:c>
      <x:c r="C383" t="inlineStr">
        <x:is>
          <x:t xml:space="preserve">5.50</x:t>
        </x:is>
      </x:c>
      <x:c r="D383" t="inlineStr">
        <x:is>
          <x:t xml:space="preserve">Lm</x:t>
        </x:is>
      </x:c>
      <x:c r="E383" t="inlineStr">
        <x:is>
          <x:t xml:space="preserve">25</x:t>
        </x:is>
      </x:c>
      <x:c r="F383" t="inlineStr">
        <x:is>
          <x:t xml:space="preserve">Covered</x:t>
        </x:is>
      </x:c>
      <x:c r="G383" t="inlineStr">
        <x:is>
          <x:t xml:space="preserve">18</x:t>
        </x:is>
      </x:c>
    </x:row>
    <x:row r="384">
      <x:c r="A384" t="inlineStr">
        <x:is>
          <x:t xml:space="preserve">p18:8.1.10</x:t>
        </x:is>
      </x:c>
      <x:c r="B384" t="inlineStr">
        <x:is>
          <x:t xml:space="preserve">25mm2 THWN-2 Black/insulated copper cable</x:t>
        </x:is>
      </x:c>
      <x:c r="C384" t="inlineStr">
        <x:is>
          <x:t xml:space="preserve">5.50</x:t>
        </x:is>
      </x:c>
      <x:c r="D384" t="inlineStr">
        <x:is>
          <x:t xml:space="preserve">Lm</x:t>
        </x:is>
      </x:c>
      <x:c r="E384" t="inlineStr">
        <x:is>
          <x:t xml:space="preserve">25</x:t>
        </x:is>
      </x:c>
      <x:c r="F384" t="inlineStr">
        <x:is>
          <x:t xml:space="preserve">Covered</x:t>
        </x:is>
      </x:c>
      <x:c r="G384" t="inlineStr">
        <x:is>
          <x:t xml:space="preserve">18</x:t>
        </x:is>
      </x:c>
    </x:row>
    <x:row r="385">
      <x:c r="A385" t="inlineStr">
        <x:is>
          <x:t xml:space="preserve">p18:8.1.11</x:t>
        </x:is>
      </x:c>
      <x:c r="B385" t="inlineStr">
        <x:is>
          <x:t xml:space="preserve">Contractor shall supply and deliver in closed boxes to the building</x:t>
        </x:is>
      </x:c>
      <x:c r="C385" t="inlineStr">
        <x:is>
          <x:t xml:space="preserve">1.00</x:t>
        </x:is>
      </x:c>
      <x:c r="D385" t="inlineStr">
        <x:is>
          <x:t xml:space="preserve">Item</x:t>
        </x:is>
      </x:c>
      <x:c r="E385" t="inlineStr">
        <x:is>
          <x:t xml:space="preserve">25</x:t>
        </x:is>
      </x:c>
      <x:c r="F385" t="inlineStr">
        <x:is>
          <x:t xml:space="preserve">Covered</x:t>
        </x:is>
      </x:c>
      <x:c r="G385" t="inlineStr">
        <x:is>
          <x:t xml:space="preserve">18</x:t>
        </x:is>
      </x:c>
    </x:row>
    <x:row r="386">
      <x:c r="A386" t="inlineStr">
        <x:is>
          <x:t xml:space="preserve">p18:8.1.12</x:t>
        </x:is>
      </x:c>
      <x:c r="B386" t="inlineStr">
        <x:is>
          <x:t xml:space="preserve">Contractor shall supply and deliver in closed boxes to the building</x:t>
        </x:is>
      </x:c>
      <x:c r="C386" t="inlineStr">
        <x:is>
          <x:t xml:space="preserve">6.00</x:t>
        </x:is>
      </x:c>
      <x:c r="D386" t="inlineStr">
        <x:is>
          <x:t xml:space="preserve">No.</x:t>
        </x:is>
      </x:c>
      <x:c r="E386" t="inlineStr">
        <x:is>
          <x:t xml:space="preserve">25</x:t>
        </x:is>
      </x:c>
      <x:c r="F386" t="inlineStr">
        <x:is>
          <x:t xml:space="preserve">Covered</x:t>
        </x:is>
      </x:c>
      <x:c r="G386" t="inlineStr">
        <x:is>
          <x:t xml:space="preserve">18</x:t>
        </x:is>
      </x:c>
    </x:row>
    <x:row r="387">
      <x:c r="A387" t="inlineStr">
        <x:is>
          <x:t xml:space="preserve">p18:9.1.1</x:t>
        </x:is>
      </x:c>
      <x:c r="B387" t="inlineStr">
        <x:is>
          <x:t xml:space="preserve">4MP Auto-iris super high-end Bullet Camera, weather proof</x:t>
        </x:is>
      </x:c>
      <x:c r="C387" t="inlineStr">
        <x:is>
          <x:t xml:space="preserve">6.00</x:t>
        </x:is>
      </x:c>
      <x:c r="D387" t="inlineStr">
        <x:is>
          <x:t xml:space="preserve">No.</x:t>
        </x:is>
      </x:c>
      <x:c r="E387" t="inlineStr">
        <x:is>
          <x:t xml:space="preserve">24</x:t>
        </x:is>
      </x:c>
      <x:c r="F387" t="inlineStr">
        <x:is>
          <x:t xml:space="preserve">Covered</x:t>
        </x:is>
      </x:c>
      <x:c r="G387" t="inlineStr">
        <x:is>
          <x:t xml:space="preserve">18</x:t>
        </x:is>
      </x:c>
    </x:row>
    <x:row r="388">
      <x:c r="A388" t="inlineStr">
        <x:is>
          <x:t xml:space="preserve">p18:9.1.2</x:t>
        </x:is>
      </x:c>
      <x:c r="B388" t="inlineStr">
        <x:is>
          <x:t xml:space="preserve">4MP Auto-iris super high-end Bullet Camera</x:t>
        </x:is>
      </x:c>
      <x:c r="C388" t="inlineStr">
        <x:is>
          <x:t xml:space="preserve">8.00</x:t>
        </x:is>
      </x:c>
      <x:c r="D388" t="inlineStr">
        <x:is>
          <x:t xml:space="preserve">No.</x:t>
        </x:is>
      </x:c>
      <x:c r="E388" t="inlineStr">
        <x:is>
          <x:t xml:space="preserve">24</x:t>
        </x:is>
      </x:c>
      <x:c r="F388" t="inlineStr">
        <x:is>
          <x:t xml:space="preserve">Covered</x:t>
        </x:is>
      </x:c>
      <x:c r="G388" t="inlineStr">
        <x:is>
          <x:t xml:space="preserve">18</x:t>
        </x:is>
      </x:c>
    </x:row>
    <x:row r="389">
      <x:c r="A389" t="inlineStr">
        <x:is>
          <x:t xml:space="preserve">p18:9.1.3</x:t>
        </x:is>
      </x:c>
      <x:c r="B389" t="inlineStr">
        <x:is>
          <x:t xml:space="preserve">4MP Auto-iris super high-end Dome Camera</x:t>
        </x:is>
      </x:c>
      <x:c r="C389" t="inlineStr">
        <x:is>
          <x:t xml:space="preserve">14.00</x:t>
        </x:is>
      </x:c>
      <x:c r="D389" t="inlineStr">
        <x:is>
          <x:t xml:space="preserve">No.</x:t>
        </x:is>
      </x:c>
      <x:c r="E389" t="inlineStr">
        <x:is>
          <x:t xml:space="preserve">24</x:t>
        </x:is>
      </x:c>
      <x:c r="F389" t="inlineStr">
        <x:is>
          <x:t xml:space="preserve">Covered</x:t>
        </x:is>
      </x:c>
      <x:c r="G389" t="inlineStr">
        <x:is>
          <x:t xml:space="preserve">18</x:t>
        </x:is>
      </x:c>
    </x:row>
    <x:row r="390">
      <x:c r="A390" t="inlineStr">
        <x:is>
          <x:t xml:space="preserve">p18:9.1.4</x:t>
        </x:is>
      </x:c>
      <x:c r="B390" t="inlineStr">
        <x:is>
          <x:t xml:space="preserve">LCD video monitor 46 '' with monitor workstations</x:t>
        </x:is>
      </x:c>
      <x:c r="C390" t="inlineStr">
        <x:is>
          <x:t xml:space="preserve">1.00</x:t>
        </x:is>
      </x:c>
      <x:c r="D390" t="inlineStr">
        <x:is>
          <x:t xml:space="preserve">No.</x:t>
        </x:is>
      </x:c>
      <x:c r="E390" t="inlineStr">
        <x:is>
          <x:t xml:space="preserve">24</x:t>
        </x:is>
      </x:c>
      <x:c r="F390" t="inlineStr">
        <x:is>
          <x:t xml:space="preserve">Covered</x:t>
        </x:is>
      </x:c>
      <x:c r="G390" t="inlineStr">
        <x:is>
          <x:t xml:space="preserve">18</x:t>
        </x:is>
      </x:c>
    </x:row>
    <x:row r="391">
      <x:c r="A391" t="inlineStr">
        <x:is>
          <x:t xml:space="preserve">p18:9.1.5</x:t>
        </x:is>
      </x:c>
      <x:c r="B391" t="inlineStr">
        <x:is>
          <x:t xml:space="preserve">CCTV Server (Management and storage)</x:t>
        </x:is>
      </x:c>
      <x:c r="C391" t="inlineStr">
        <x:is>
          <x:t xml:space="preserve">1.00</x:t>
        </x:is>
      </x:c>
      <x:c r="D391" t="inlineStr">
        <x:is>
          <x:t xml:space="preserve">No.</x:t>
        </x:is>
      </x:c>
      <x:c r="E391" t="inlineStr">
        <x:is>
          <x:t xml:space="preserve">24</x:t>
        </x:is>
      </x:c>
      <x:c r="F391" t="inlineStr">
        <x:is>
          <x:t xml:space="preserve">Covered</x:t>
        </x:is>
      </x:c>
      <x:c r="G391" t="inlineStr">
        <x:is>
          <x:t xml:space="preserve">18</x:t>
        </x:is>
      </x:c>
    </x:row>
    <x:row r="392">
      <x:c r="A392" t="inlineStr">
        <x:is>
          <x:t xml:space="preserve">p18:9.1.6</x:t>
        </x:is>
      </x:c>
      <x:c r="B392" t="inlineStr">
        <x:is>
          <x:t xml:space="preserve">Network video recorder and storage RAID 5 based server, network recording</x:t>
        </x:is>
      </x:c>
      <x:c r="C392" t="inlineStr">
        <x:is>
          <x:t xml:space="preserve">1.00</x:t>
        </x:is>
      </x:c>
      <x:c r="D392" t="inlineStr">
        <x:is>
          <x:t xml:space="preserve">LS</x:t>
        </x:is>
      </x:c>
      <x:c r="E392" t="inlineStr">
        <x:is>
          <x:t xml:space="preserve">24</x:t>
        </x:is>
      </x:c>
      <x:c r="F392" t="inlineStr">
        <x:is>
          <x:t xml:space="preserve">Covered</x:t>
        </x:is>
      </x:c>
      <x:c r="G392" t="inlineStr">
        <x:is>
          <x:t xml:space="preserve">18</x:t>
        </x:is>
      </x:c>
    </x:row>
    <x:row r="393">
      <x:c r="A393" t="inlineStr">
        <x:is>
          <x:t xml:space="preserve">p18:9.1.7</x:t>
        </x:is>
      </x:c>
      <x:c r="B393" t="inlineStr">
        <x:is>
          <x:t xml:space="preserve">24-PORT P.O.E SWITCH</x:t>
        </x:is>
      </x:c>
      <x:c r="C393" t="inlineStr">
        <x:is>
          <x:t xml:space="preserve">1.00</x:t>
        </x:is>
      </x:c>
      <x:c r="D393" t="inlineStr">
        <x:is>
          <x:t xml:space="preserve">No.</x:t>
        </x:is>
      </x:c>
      <x:c r="E393" t="inlineStr">
        <x:is>
          <x:t xml:space="preserve">24</x:t>
        </x:is>
      </x:c>
      <x:c r="F393" t="inlineStr">
        <x:is>
          <x:t xml:space="preserve">Covered</x:t>
        </x:is>
      </x:c>
      <x:c r="G393" t="inlineStr">
        <x:is>
          <x:t xml:space="preserve">18</x:t>
        </x:is>
      </x:c>
    </x:row>
    <x:row r="394">
      <x:c r="A394" t="inlineStr">
        <x:is>
          <x:t xml:space="preserve">p18:9.1.8</x:t>
        </x:is>
      </x:c>
      <x:c r="B394" t="inlineStr">
        <x:is>
          <x:t xml:space="preserve">24 Port RJ 45 Patch Panel</x:t>
        </x:is>
      </x:c>
      <x:c r="C394" t="inlineStr">
        <x:is>
          <x:t xml:space="preserve">1.00</x:t>
        </x:is>
      </x:c>
      <x:c r="D394" t="inlineStr">
        <x:is>
          <x:t xml:space="preserve">No.</x:t>
        </x:is>
      </x:c>
      <x:c r="E394" t="inlineStr">
        <x:is>
          <x:t xml:space="preserve">24</x:t>
        </x:is>
      </x:c>
      <x:c r="F394" t="inlineStr">
        <x:is>
          <x:t xml:space="preserve">Covered</x:t>
        </x:is>
      </x:c>
      <x:c r="G394" t="inlineStr">
        <x:is>
          <x:t xml:space="preserve">18</x:t>
        </x:is>
      </x:c>
    </x:row>
    <x:row r="395">
      <x:c r="A395" t="inlineStr">
        <x:is>
          <x:t xml:space="preserve">p18:9.1.9</x:t>
        </x:is>
      </x:c>
      <x:c r="B395" t="inlineStr">
        <x:is>
          <x:t xml:space="preserve">12-PORT P.O.E SWITCH</x:t>
        </x:is>
      </x:c>
      <x:c r="C395" t="inlineStr">
        <x:is>
          <x:t xml:space="preserve">1.00</x:t>
        </x:is>
      </x:c>
      <x:c r="D395" t="inlineStr">
        <x:is>
          <x:t xml:space="preserve">No.</x:t>
        </x:is>
      </x:c>
      <x:c r="E395" t="inlineStr">
        <x:is>
          <x:t xml:space="preserve">24</x:t>
        </x:is>
      </x:c>
      <x:c r="F395" t="inlineStr">
        <x:is>
          <x:t xml:space="preserve">Covered</x:t>
        </x:is>
      </x:c>
      <x:c r="G395" t="inlineStr">
        <x:is>
          <x:t xml:space="preserve">18</x:t>
        </x:is>
      </x:c>
    </x:row>
    <x:row r="396">
      <x:c r="A396" t="inlineStr">
        <x:is>
          <x:t xml:space="preserve">p18:9.1.10</x:t>
        </x:is>
      </x:c>
      <x:c r="B396" t="inlineStr">
        <x:is>
          <x:t xml:space="preserve">12 Port RJ 45 Patch Panel</x:t>
        </x:is>
      </x:c>
      <x:c r="C396" t="inlineStr">
        <x:is>
          <x:t xml:space="preserve">1.00</x:t>
        </x:is>
      </x:c>
      <x:c r="D396" t="inlineStr">
        <x:is>
          <x:t xml:space="preserve">No.</x:t>
        </x:is>
      </x:c>
      <x:c r="E396" t="inlineStr">
        <x:is>
          <x:t xml:space="preserve">24</x:t>
        </x:is>
      </x:c>
      <x:c r="F396" t="inlineStr">
        <x:is>
          <x:t xml:space="preserve">Covered</x:t>
        </x:is>
      </x:c>
      <x:c r="G396" t="inlineStr">
        <x:is>
          <x:t xml:space="preserve">18</x:t>
        </x:is>
      </x:c>
    </x:row>
    <x:row r="397">
      <x:c r="A397" t="inlineStr">
        <x:is>
          <x:t xml:space="preserve">p18:9.1.11</x:t>
        </x:is>
      </x:c>
      <x:c r="B397" t="inlineStr">
        <x:is>
          <x:t xml:space="preserve">6 U wall mounted rack</x:t>
        </x:is>
      </x:c>
      <x:c r="C397" t="inlineStr">
        <x:is>
          <x:t xml:space="preserve">1.00</x:t>
        </x:is>
      </x:c>
      <x:c r="D397" t="inlineStr">
        <x:is>
          <x:t xml:space="preserve">No.</x:t>
        </x:is>
      </x:c>
      <x:c r="E397" t="inlineStr">
        <x:is>
          <x:t xml:space="preserve">24</x:t>
        </x:is>
      </x:c>
      <x:c r="F397" t="inlineStr">
        <x:is>
          <x:t xml:space="preserve">Covered</x:t>
        </x:is>
      </x:c>
      <x:c r="G397" t="inlineStr">
        <x:is>
          <x:t xml:space="preserve">18</x:t>
        </x:is>
      </x:c>
    </x:row>
    <x:row r="398">
      <x:c r="A398" t="inlineStr">
        <x:is>
          <x:t xml:space="preserve">p19:10.1.1</x:t>
        </x:is>
      </x:c>
      <x:c r="B398" t="inlineStr">
        <x:is>
          <x:t xml:space="preserve">Prime Diesel generator set of 88 KVA, 380 V; 50 Hz; 3 phases with sound proof</x:t>
        </x:is>
      </x:c>
      <x:c r="C398" t="inlineStr">
        <x:is>
          <x:t xml:space="preserve">1.00</x:t>
        </x:is>
      </x:c>
      <x:c r="D398" t="inlineStr">
        <x:is>
          <x:t xml:space="preserve">No.</x:t>
        </x:is>
      </x:c>
      <x:c r="E398" t="inlineStr">
        <x:is>
          <x:t xml:space="preserve">26</x:t>
        </x:is>
      </x:c>
      <x:c r="F398" t="inlineStr">
        <x:is>
          <x:t xml:space="preserve">Covered</x:t>
        </x:is>
      </x:c>
      <x:c r="G398" t="inlineStr">
        <x:is>
          <x:t xml:space="preserve">19</x:t>
        </x:is>
      </x:c>
    </x:row>
    <x:row r="399">
      <x:c r="A399" t="inlineStr">
        <x:is>
          <x:t xml:space="preserve">p19:10.2</x:t>
        </x:is>
      </x:c>
      <x:c r="B399" t="inlineStr">
        <x:is>
          <x:t xml:space="preserve">Disconnect, Relocate, install with relevant cable extension for temporary power</x:t>
        </x:is>
      </x:c>
      <x:c r="C399" t="inlineStr">
        <x:is>
          <x:t xml:space="preserve">1.00</x:t>
        </x:is>
      </x:c>
      <x:c r="D399" t="inlineStr">
        <x:is>
          <x:t xml:space="preserve">LS</x:t>
        </x:is>
      </x:c>
      <x:c r="E399" t="inlineStr">
        <x:is>
          <x:t xml:space="preserve">26</x:t>
        </x:is>
      </x:c>
      <x:c r="F399" t="inlineStr">
        <x:is>
          <x:t xml:space="preserve">Covered</x:t>
        </x:is>
      </x:c>
      <x:c r="G399" t="inlineStr">
        <x:is>
          <x:t xml:space="preserve">19</x:t>
        </x:is>
      </x:c>
    </x:row>
    <x:row r="400">
      <x:c r="A400" t="inlineStr">
        <x:is>
          <x:t xml:space="preserve">p20:11.1.1</x:t>
        </x:is>
      </x:c>
      <x:c r="B400" t="inlineStr">
        <x:is>
          <x:t xml:space="preserve">Addressable Fire Alarm Control Panel FACP</x:t>
        </x:is>
      </x:c>
      <x:c r="C400" t="inlineStr">
        <x:is>
          <x:t xml:space="preserve">1.00</x:t>
        </x:is>
      </x:c>
      <x:c r="D400" t="inlineStr">
        <x:is>
          <x:t xml:space="preserve">No.</x:t>
        </x:is>
      </x:c>
      <x:c r="E400" t="inlineStr">
        <x:is>
          <x:t xml:space="preserve">31</x:t>
        </x:is>
      </x:c>
      <x:c r="F400" t="inlineStr">
        <x:is>
          <x:t xml:space="preserve">Covered</x:t>
        </x:is>
      </x:c>
      <x:c r="G400" t="inlineStr">
        <x:is>
          <x:t xml:space="preserve">20</x:t>
        </x:is>
      </x:c>
    </x:row>
    <x:row r="401">
      <x:c r="A401" t="inlineStr">
        <x:is>
          <x:t xml:space="preserve">p20:11.1.2</x:t>
        </x:is>
      </x:c>
      <x:c r="B401" t="inlineStr">
        <x:is>
          <x:t xml:space="preserve">Ceiling Mounted Addressable Smoke Detector</x:t>
        </x:is>
      </x:c>
      <x:c r="C401" t="inlineStr">
        <x:is>
          <x:t xml:space="preserve">71.00</x:t>
        </x:is>
      </x:c>
      <x:c r="D401" t="inlineStr">
        <x:is>
          <x:t xml:space="preserve">No.</x:t>
        </x:is>
      </x:c>
      <x:c r="E401" t="inlineStr">
        <x:is>
          <x:t xml:space="preserve">31</x:t>
        </x:is>
      </x:c>
      <x:c r="F401" t="inlineStr">
        <x:is>
          <x:t xml:space="preserve">Covered</x:t>
        </x:is>
      </x:c>
      <x:c r="G401" t="inlineStr">
        <x:is>
          <x:t xml:space="preserve">20</x:t>
        </x:is>
      </x:c>
    </x:row>
    <x:row r="402">
      <x:c r="A402" t="inlineStr">
        <x:is>
          <x:t xml:space="preserve">p20:11.1.3</x:t>
        </x:is>
      </x:c>
      <x:c r="B402" t="inlineStr">
        <x:is>
          <x:t xml:space="preserve">Ceiling Mounted Addressable Heat Detector</x:t>
        </x:is>
      </x:c>
      <x:c r="C402" t="inlineStr">
        <x:is>
          <x:t xml:space="preserve">3.00</x:t>
        </x:is>
      </x:c>
      <x:c r="D402" t="inlineStr">
        <x:is>
          <x:t xml:space="preserve">No.</x:t>
        </x:is>
      </x:c>
      <x:c r="E402" t="inlineStr">
        <x:is>
          <x:t xml:space="preserve">31</x:t>
        </x:is>
      </x:c>
      <x:c r="F402" t="inlineStr">
        <x:is>
          <x:t xml:space="preserve">Covered</x:t>
        </x:is>
      </x:c>
      <x:c r="G402" t="inlineStr">
        <x:is>
          <x:t xml:space="preserve">20</x:t>
        </x:is>
      </x:c>
    </x:row>
    <x:row r="403">
      <x:c r="A403" t="inlineStr">
        <x:is>
          <x:t xml:space="preserve">p20:11.1.4</x:t>
        </x:is>
      </x:c>
      <x:c r="B403" t="inlineStr">
        <x:is>
          <x:t xml:space="preserve">Above False Ceiling Addressable Smoke Detector with Remote Indicator</x:t>
        </x:is>
      </x:c>
      <x:c r="C403" t="inlineStr">
        <x:is>
          <x:t xml:space="preserve">18.00</x:t>
        </x:is>
      </x:c>
      <x:c r="D403" t="inlineStr">
        <x:is>
          <x:t xml:space="preserve">No.</x:t>
        </x:is>
      </x:c>
      <x:c r="E403" t="inlineStr">
        <x:is>
          <x:t xml:space="preserve">31</x:t>
        </x:is>
      </x:c>
      <x:c r="F403" t="inlineStr">
        <x:is>
          <x:t xml:space="preserve">Covered</x:t>
        </x:is>
      </x:c>
      <x:c r="G403" t="inlineStr">
        <x:is>
          <x:t xml:space="preserve">20</x:t>
        </x:is>
      </x:c>
    </x:row>
    <x:row r="404">
      <x:c r="A404" t="inlineStr">
        <x:is>
          <x:t xml:space="preserve">p20:11.1.5</x:t>
        </x:is>
      </x:c>
      <x:c r="B404" t="inlineStr">
        <x:is>
          <x:t xml:space="preserve">Fire Alarm Horn and Strobe</x:t>
        </x:is>
      </x:c>
      <x:c r="C404" t="inlineStr">
        <x:is>
          <x:t xml:space="preserve">7.00</x:t>
        </x:is>
      </x:c>
      <x:c r="D404" t="inlineStr">
        <x:is>
          <x:t xml:space="preserve">No.</x:t>
        </x:is>
      </x:c>
      <x:c r="E404" t="inlineStr">
        <x:is>
          <x:t xml:space="preserve">31</x:t>
        </x:is>
      </x:c>
      <x:c r="F404" t="inlineStr">
        <x:is>
          <x:t xml:space="preserve">Covered</x:t>
        </x:is>
      </x:c>
      <x:c r="G404" t="inlineStr">
        <x:is>
          <x:t xml:space="preserve">20</x:t>
        </x:is>
      </x:c>
    </x:row>
    <x:row r="405">
      <x:c r="A405" t="inlineStr">
        <x:is>
          <x:t xml:space="preserve">p20:11.1.6</x:t>
        </x:is>
      </x:c>
      <x:c r="B405" t="inlineStr">
        <x:is>
          <x:t xml:space="preserve">Manual break glass</x:t>
        </x:is>
      </x:c>
      <x:c r="C405" t="inlineStr">
        <x:is>
          <x:t xml:space="preserve">10.00</x:t>
        </x:is>
      </x:c>
      <x:c r="D405" t="inlineStr">
        <x:is>
          <x:t xml:space="preserve">No.</x:t>
        </x:is>
      </x:c>
      <x:c r="E405" t="inlineStr">
        <x:is>
          <x:t xml:space="preserve">31</x:t>
        </x:is>
      </x:c>
      <x:c r="F405" t="inlineStr">
        <x:is>
          <x:t xml:space="preserve">Covered</x:t>
        </x:is>
      </x:c>
      <x:c r="G405" t="inlineStr">
        <x:is>
          <x:t xml:space="preserve">20</x:t>
        </x:is>
      </x:c>
    </x:row>
    <x:row r="406">
      <x:c r="A406" t="inlineStr">
        <x:is>
          <x:t xml:space="preserve">p20:11.1.7</x:t>
        </x:is>
      </x:c>
      <x:c r="B406" t="inlineStr">
        <x:is>
          <x:t xml:space="preserve">Monitor module</x:t>
        </x:is>
      </x:c>
      <x:c r="C406" t="inlineStr">
        <x:is>
          <x:t xml:space="preserve">1.00</x:t>
        </x:is>
      </x:c>
      <x:c r="D406" t="inlineStr">
        <x:is>
          <x:t xml:space="preserve">No.</x:t>
        </x:is>
      </x:c>
      <x:c r="E406" t="inlineStr">
        <x:is>
          <x:t xml:space="preserve">31</x:t>
        </x:is>
      </x:c>
      <x:c r="F406" t="inlineStr">
        <x:is>
          <x:t xml:space="preserve">Covered</x:t>
        </x:is>
      </x:c>
      <x:c r="G406" t="inlineStr">
        <x:is>
          <x:t xml:space="preserve">20</x:t>
        </x:is>
      </x:c>
    </x:row>
    <x:row r="407">
      <x:c r="A407" t="inlineStr">
        <x:is>
          <x:t xml:space="preserve">p20:11.1.8</x:t>
        </x:is>
      </x:c>
      <x:c r="B407" t="inlineStr">
        <x:is>
          <x:t xml:space="preserve">Control module</x:t>
        </x:is>
      </x:c>
      <x:c r="C407" t="inlineStr">
        <x:is>
          <x:t xml:space="preserve">3.00</x:t>
        </x:is>
      </x:c>
      <x:c r="D407" t="inlineStr">
        <x:is>
          <x:t xml:space="preserve">No.</x:t>
        </x:is>
      </x:c>
      <x:c r="E407" t="inlineStr">
        <x:is>
          <x:t xml:space="preserve">31</x:t>
        </x:is>
      </x:c>
      <x:c r="F407" t="inlineStr">
        <x:is>
          <x:t xml:space="preserve">Covered</x:t>
        </x:is>
      </x:c>
      <x:c r="G407" t="inlineStr">
        <x:is>
          <x:t xml:space="preserve">20</x:t>
        </x:is>
      </x:c>
    </x:row>
    <x:row r="408">
      <x:c r="A408" t="inlineStr">
        <x:is>
          <x:t xml:space="preserve">p20:11.1.9</x:t>
        </x:is>
      </x:c>
      <x:c r="B408" t="inlineStr">
        <x:is>
          <x:t xml:space="preserve">Call Point</x:t>
        </x:is>
      </x:c>
      <x:c r="C408" t="inlineStr">
        <x:is>
          <x:t xml:space="preserve">1.00</x:t>
        </x:is>
      </x:c>
      <x:c r="D408" t="inlineStr">
        <x:is>
          <x:t xml:space="preserve">No.</x:t>
        </x:is>
      </x:c>
      <x:c r="E408" t="inlineStr">
        <x:is>
          <x:t xml:space="preserve">31</x:t>
        </x:is>
      </x:c>
      <x:c r="F408" t="inlineStr">
        <x:is>
          <x:t xml:space="preserve">Covered</x:t>
        </x:is>
      </x:c>
      <x:c r="G408" t="inlineStr">
        <x:is>
          <x:t xml:space="preserve">20</x:t>
        </x:is>
      </x:c>
    </x:row>
    <x:row r="409">
      <x:c r="A409" t="inlineStr">
        <x:is>
          <x:t xml:space="preserve">p21:12.1.1</x:t>
        </x:is>
      </x:c>
      <x:c r="B409" t="inlineStr">
        <x:is>
          <x:t xml:space="preserve">UPS three phase 10 KVA</x:t>
        </x:is>
      </x:c>
      <x:c r="C409" t="inlineStr">
        <x:is>
          <x:t xml:space="preserve">1.00</x:t>
        </x:is>
      </x:c>
      <x:c r="D409" t="inlineStr">
        <x:is>
          <x:t xml:space="preserve">No.</x:t>
        </x:is>
      </x:c>
      <x:c r="E409" t="inlineStr">
        <x:is>
          <x:t xml:space="preserve">26</x:t>
        </x:is>
      </x:c>
      <x:c r="F409" t="inlineStr">
        <x:is>
          <x:t xml:space="preserve">Covered</x:t>
        </x:is>
      </x:c>
      <x:c r="G409" t="inlineStr">
        <x:is>
          <x:t xml:space="preserve">21</x:t>
        </x:is>
      </x:c>
    </x:row>
    <x:row r="410">
      <x:c r="A410" t="inlineStr">
        <x:is>
          <x:t xml:space="preserve">p22:13.1.1</x:t>
        </x:is>
      </x:c>
      <x:c r="B410" t="inlineStr">
        <x:is>
          <x:t xml:space="preserve">Access Point repeater-WIFI</x:t>
        </x:is>
      </x:c>
      <x:c r="C410" t="inlineStr">
        <x:is>
          <x:t xml:space="preserve">3.00</x:t>
        </x:is>
      </x:c>
      <x:c r="D410" t="inlineStr">
        <x:is>
          <x:t xml:space="preserve">No.</x:t>
        </x:is>
      </x:c>
      <x:c r="E410" t="inlineStr">
        <x:is>
          <x:t xml:space="preserve">24</x:t>
        </x:is>
      </x:c>
      <x:c r="F410" t="inlineStr">
        <x:is>
          <x:t xml:space="preserve">Covered</x:t>
        </x:is>
      </x:c>
      <x:c r="G410" t="inlineStr">
        <x:is>
          <x:t xml:space="preserve">22</x:t>
        </x:is>
      </x:c>
    </x:row>
    <x:row r="411">
      <x:c r="A411" t="inlineStr">
        <x:is>
          <x:t xml:space="preserve">p22:13.2.1</x:t>
        </x:is>
      </x:c>
      <x:c r="B411" t="inlineStr">
        <x:is>
          <x:t xml:space="preserve">Wall mounted data outlet RJ 45</x:t>
        </x:is>
      </x:c>
      <x:c r="C411" t="inlineStr">
        <x:is>
          <x:t xml:space="preserve">9.00</x:t>
        </x:is>
      </x:c>
      <x:c r="D411" t="inlineStr">
        <x:is>
          <x:t xml:space="preserve">No</x:t>
        </x:is>
      </x:c>
      <x:c r="E411" t="inlineStr">
        <x:is>
          <x:t xml:space="preserve">24</x:t>
        </x:is>
      </x:c>
      <x:c r="F411" t="inlineStr">
        <x:is>
          <x:t xml:space="preserve">Covered</x:t>
        </x:is>
      </x:c>
      <x:c r="G411" t="inlineStr">
        <x:is>
          <x:t xml:space="preserve">22</x:t>
        </x:is>
      </x:c>
    </x:row>
    <x:row r="412">
      <x:c r="A412" t="inlineStr">
        <x:is>
          <x:t xml:space="preserve">p22:13.2.2</x:t>
        </x:is>
      </x:c>
      <x:c r="B412" t="inlineStr">
        <x:is>
          <x:t xml:space="preserve">Wall mounted telephone outlet RJ 45</x:t>
        </x:is>
      </x:c>
      <x:c r="C412" t="inlineStr">
        <x:is>
          <x:t xml:space="preserve">12.00</x:t>
        </x:is>
      </x:c>
      <x:c r="D412" t="inlineStr">
        <x:is>
          <x:t xml:space="preserve">No</x:t>
        </x:is>
      </x:c>
      <x:c r="E412" t="inlineStr">
        <x:is>
          <x:t xml:space="preserve">24</x:t>
        </x:is>
      </x:c>
      <x:c r="F412" t="inlineStr">
        <x:is>
          <x:t xml:space="preserve">Covered</x:t>
        </x:is>
      </x:c>
      <x:c r="G412" t="inlineStr">
        <x:is>
          <x:t xml:space="preserve">22</x:t>
        </x:is>
      </x:c>
    </x:row>
    <x:row r="413">
      <x:c r="A413" t="inlineStr">
        <x:is>
          <x:t xml:space="preserve">p22:13.2.3</x:t>
        </x:is>
      </x:c>
      <x:c r="B413" t="inlineStr">
        <x:is>
          <x:t xml:space="preserve">Wall mounted HDMI outlet</x:t>
        </x:is>
      </x:c>
      <x:c r="C413" t="inlineStr">
        <x:is>
          <x:t xml:space="preserve">3.00</x:t>
        </x:is>
      </x:c>
      <x:c r="D413" t="inlineStr">
        <x:is>
          <x:t xml:space="preserve">No</x:t>
        </x:is>
      </x:c>
      <x:c r="E413" t="inlineStr">
        <x:is>
          <x:t xml:space="preserve">24</x:t>
        </x:is>
      </x:c>
      <x:c r="F413" t="inlineStr">
        <x:is>
          <x:t xml:space="preserve">Covered</x:t>
        </x:is>
      </x:c>
      <x:c r="G413" t="inlineStr">
        <x:is>
          <x:t xml:space="preserve">22</x:t>
        </x:is>
      </x:c>
    </x:row>
    <x:row r="414">
      <x:c r="A414" t="inlineStr">
        <x:is>
          <x:t xml:space="preserve">p22:13.2.4</x:t>
        </x:is>
      </x:c>
      <x:c r="B414" t="inlineStr">
        <x:is>
          <x:t xml:space="preserve">Ceiling mounted HDMI outlet for projector</x:t>
        </x:is>
      </x:c>
      <x:c r="C414" t="inlineStr">
        <x:is>
          <x:t xml:space="preserve">3.00</x:t>
        </x:is>
      </x:c>
      <x:c r="D414" t="inlineStr">
        <x:is>
          <x:t xml:space="preserve">No</x:t>
        </x:is>
      </x:c>
      <x:c r="E414" t="inlineStr">
        <x:is>
          <x:t xml:space="preserve">24</x:t>
        </x:is>
      </x:c>
      <x:c r="F414" t="inlineStr">
        <x:is>
          <x:t xml:space="preserve">Covered</x:t>
        </x:is>
      </x:c>
      <x:c r="G414" t="inlineStr">
        <x:is>
          <x:t xml:space="preserve">22</x:t>
        </x:is>
      </x:c>
    </x:row>
    <x:row r="415">
      <x:c r="A415" t="inlineStr">
        <x:is>
          <x:t xml:space="preserve">p22:13.2.5</x:t>
        </x:is>
      </x:c>
      <x:c r="B415" t="inlineStr">
        <x:is>
          <x:t xml:space="preserve">12 Port RJ 45 Patch Panel</x:t>
        </x:is>
      </x:c>
      <x:c r="C415" t="inlineStr">
        <x:is>
          <x:t xml:space="preserve">1.00</x:t>
        </x:is>
      </x:c>
      <x:c r="D415" t="inlineStr">
        <x:is>
          <x:t xml:space="preserve">No</x:t>
        </x:is>
      </x:c>
      <x:c r="E415" t="inlineStr">
        <x:is>
          <x:t xml:space="preserve">24</x:t>
        </x:is>
      </x:c>
      <x:c r="F415" t="inlineStr">
        <x:is>
          <x:t xml:space="preserve">Covered</x:t>
        </x:is>
      </x:c>
      <x:c r="G415" t="inlineStr">
        <x:is>
          <x:t xml:space="preserve">22</x:t>
        </x:is>
      </x:c>
    </x:row>
    <x:row r="416">
      <x:c r="A416" t="inlineStr">
        <x:is>
          <x:t xml:space="preserve">p22:13.2.6</x:t>
        </x:is>
      </x:c>
      <x:c r="B416" t="inlineStr">
        <x:is>
          <x:t xml:space="preserve">24 Port RJ 45 Patch Panel</x:t>
        </x:is>
      </x:c>
      <x:c r="C416" t="inlineStr">
        <x:is>
          <x:t xml:space="preserve">1.00</x:t>
        </x:is>
      </x:c>
      <x:c r="D416" t="inlineStr">
        <x:is>
          <x:t xml:space="preserve">No</x:t>
        </x:is>
      </x:c>
      <x:c r="E416" t="inlineStr">
        <x:is>
          <x:t xml:space="preserve">24</x:t>
        </x:is>
      </x:c>
      <x:c r="F416" t="inlineStr">
        <x:is>
          <x:t xml:space="preserve">Covered</x:t>
        </x:is>
      </x:c>
      <x:c r="G416" t="inlineStr">
        <x:is>
          <x:t xml:space="preserve">22</x:t>
        </x:is>
      </x:c>
    </x:row>
    <x:row r="417">
      <x:c r="A417" t="inlineStr">
        <x:is>
          <x:t xml:space="preserve">p22:13.2.7</x:t>
        </x:is>
      </x:c>
      <x:c r="B417" t="inlineStr">
        <x:is>
          <x:t xml:space="preserve">6 U wall mounted rack</x:t>
        </x:is>
      </x:c>
      <x:c r="C417" t="inlineStr">
        <x:is>
          <x:t xml:space="preserve">1.00</x:t>
        </x:is>
      </x:c>
      <x:c r="D417" t="inlineStr">
        <x:is>
          <x:t xml:space="preserve">No</x:t>
        </x:is>
      </x:c>
      <x:c r="E417" t="inlineStr">
        <x:is>
          <x:t xml:space="preserve">24</x:t>
        </x:is>
      </x:c>
      <x:c r="F417" t="inlineStr">
        <x:is>
          <x:t xml:space="preserve">Covered</x:t>
        </x:is>
      </x:c>
      <x:c r="G417" t="inlineStr">
        <x:is>
          <x:t xml:space="preserve">22</x:t>
        </x:is>
      </x:c>
    </x:row>
    <x:row r="418">
      <x:c r="A418" t="inlineStr">
        <x:is>
          <x:t xml:space="preserve">p22:13.2.8</x:t>
        </x:is>
      </x:c>
      <x:c r="B418" t="inlineStr">
        <x:is>
          <x:t xml:space="preserve">12-PORT P.O.E SWITCH</x:t>
        </x:is>
      </x:c>
      <x:c r="C418" t="inlineStr">
        <x:is>
          <x:t xml:space="preserve">1.00</x:t>
        </x:is>
      </x:c>
      <x:c r="D418" t="inlineStr">
        <x:is>
          <x:t xml:space="preserve">No</x:t>
        </x:is>
      </x:c>
      <x:c r="E418" t="inlineStr">
        <x:is>
          <x:t xml:space="preserve">24</x:t>
        </x:is>
      </x:c>
      <x:c r="F418" t="inlineStr">
        <x:is>
          <x:t xml:space="preserve">Covered</x:t>
        </x:is>
      </x:c>
      <x:c r="G418" t="inlineStr">
        <x:is>
          <x:t xml:space="preserve">22</x:t>
        </x:is>
      </x:c>
    </x:row>
    <x:row r="419">
      <x:c r="A419" t="inlineStr">
        <x:is>
          <x:t xml:space="preserve">p22:13.2.9</x:t>
        </x:is>
      </x:c>
      <x:c r="B419" t="inlineStr">
        <x:is>
          <x:t xml:space="preserve">24-PORT P.O.E SWITCH</x:t>
        </x:is>
      </x:c>
      <x:c r="C419" t="inlineStr">
        <x:is>
          <x:t xml:space="preserve">1.00</x:t>
        </x:is>
      </x:c>
      <x:c r="D419" t="inlineStr">
        <x:is>
          <x:t xml:space="preserve">No</x:t>
        </x:is>
      </x:c>
      <x:c r="E419" t="inlineStr">
        <x:is>
          <x:t xml:space="preserve">24</x:t>
        </x:is>
      </x:c>
      <x:c r="F419" t="inlineStr">
        <x:is>
          <x:t xml:space="preserve">Covered</x:t>
        </x:is>
      </x:c>
      <x:c r="G419" t="inlineStr">
        <x:is>
          <x:t xml:space="preserve">22</x:t>
        </x:is>
      </x:c>
    </x:row>
    <x:row r="420">
      <x:c r="A420" t="inlineStr">
        <x:is>
          <x:t xml:space="preserve">p23:14.1.1</x:t>
        </x:is>
      </x:c>
      <x:c r="B420" t="inlineStr">
        <x:is>
          <x:t xml:space="preserve">TV head end equipment Including all the dishes, antennas, LNBs, filters,</x:t>
        </x:is>
      </x:c>
      <x:c r="C420" t="inlineStr">
        <x:is>
          <x:t xml:space="preserve">1.00</x:t>
        </x:is>
      </x:c>
      <x:c r="D420" t="inlineStr">
        <x:is>
          <x:t xml:space="preserve">LS</x:t>
        </x:is>
      </x:c>
      <x:c r="E420" t="inlineStr">
        <x:is>
          <x:t xml:space="preserve">24</x:t>
        </x:is>
      </x:c>
      <x:c r="F420" t="inlineStr">
        <x:is>
          <x:t xml:space="preserve">Covered</x:t>
        </x:is>
      </x:c>
      <x:c r="G420" t="inlineStr">
        <x:is>
          <x:t xml:space="preserve">23</x:t>
        </x:is>
      </x:c>
    </x:row>
    <x:row r="421">
      <x:c r="A421" t="inlineStr">
        <x:is>
          <x:t xml:space="preserve">p23:14.1.2</x:t>
        </x:is>
      </x:c>
      <x:c r="B421" t="inlineStr">
        <x:is>
          <x:t xml:space="preserve">TV Output Multi-switch including RG11 cable to main TV box at roof</x:t>
        </x:is>
      </x:c>
      <x:c r="C421" t="inlineStr">
        <x:is>
          <x:t xml:space="preserve">3.00</x:t>
        </x:is>
      </x:c>
      <x:c r="D421" t="inlineStr">
        <x:is>
          <x:t xml:space="preserve">No.</x:t>
        </x:is>
      </x:c>
      <x:c r="E421" t="inlineStr">
        <x:is>
          <x:t xml:space="preserve">24</x:t>
        </x:is>
      </x:c>
      <x:c r="F421" t="inlineStr">
        <x:is>
          <x:t xml:space="preserve">Covered</x:t>
        </x:is>
      </x:c>
      <x:c r="G421" t="inlineStr">
        <x:is>
          <x:t xml:space="preserve">23</x:t>
        </x:is>
      </x:c>
    </x:row>
    <x:row r="422">
      <x:c r="A422" t="inlineStr">
        <x:is>
          <x:t xml:space="preserve">p23:14.1.3</x:t>
        </x:is>
      </x:c>
      <x:c r="B422" t="inlineStr">
        <x:is>
          <x:t xml:space="preserve">TV Socket including RG6 cable to TV Output Multi-switch</x:t>
        </x:is>
      </x:c>
      <x:c r="C422" t="inlineStr">
        <x:is>
          <x:t xml:space="preserve">3.00</x:t>
        </x:is>
      </x:c>
      <x:c r="D422" t="inlineStr">
        <x:is>
          <x:t xml:space="preserve">No.</x:t>
        </x:is>
      </x:c>
      <x:c r="E422" t="inlineStr">
        <x:is>
          <x:t xml:space="preserve">24</x:t>
        </x:is>
      </x:c>
      <x:c r="F422" t="inlineStr">
        <x:is>
          <x:t xml:space="preserve">Covered</x:t>
        </x:is>
      </x:c>
      <x:c r="G422" t="inlineStr">
        <x:is>
          <x:t xml:space="preserve">23</x:t>
        </x:is>
      </x:c>
    </x:row>
    <x:row r="423">
      <x:c r="A423" t="inlineStr">
        <x:is>
          <x:t xml:space="preserve">p24:15.1.1.1</x:t>
        </x:is>
      </x:c>
      <x:c r="B423" t="inlineStr">
        <x:is>
          <x:t xml:space="preserve">4C,4mm2 + E=SC,4mm2</x:t>
        </x:is>
      </x:c>
      <x:c r="C423" t="inlineStr">
        <x:is>
          <x:t xml:space="preserve">154.00</x:t>
        </x:is>
      </x:c>
      <x:c r="D423" t="inlineStr">
        <x:is>
          <x:t xml:space="preserve">Lm</x:t>
        </x:is>
      </x:c>
      <x:c r="E423" t="inlineStr">
        <x:is>
          <x:t xml:space="preserve">22</x:t>
        </x:is>
      </x:c>
      <x:c r="F423" t="inlineStr">
        <x:is>
          <x:t xml:space="preserve">Covered</x:t>
        </x:is>
      </x:c>
      <x:c r="G423" t="inlineStr">
        <x:is>
          <x:t xml:space="preserve">24</x:t>
        </x:is>
      </x:c>
    </x:row>
    <x:row r="424">
      <x:c r="A424" t="inlineStr">
        <x:is>
          <x:t xml:space="preserve">p24:15.1.1.2</x:t>
        </x:is>
      </x:c>
      <x:c r="B424" t="inlineStr">
        <x:is>
          <x:t xml:space="preserve">4C,10mm2 + E=SC,10mm2</x:t>
        </x:is>
      </x:c>
      <x:c r="C424" t="inlineStr">
        <x:is>
          <x:t xml:space="preserve">47.00</x:t>
        </x:is>
      </x:c>
      <x:c r="D424" t="inlineStr">
        <x:is>
          <x:t xml:space="preserve">Lm</x:t>
        </x:is>
      </x:c>
      <x:c r="E424" t="inlineStr">
        <x:is>
          <x:t xml:space="preserve">22</x:t>
        </x:is>
      </x:c>
      <x:c r="F424" t="inlineStr">
        <x:is>
          <x:t xml:space="preserve">Covered</x:t>
        </x:is>
      </x:c>
      <x:c r="G424" t="inlineStr">
        <x:is>
          <x:t xml:space="preserve">24</x:t>
        </x:is>
      </x:c>
    </x:row>
    <x:row r="425">
      <x:c r="A425" t="inlineStr">
        <x:is>
          <x:t xml:space="preserve">p24:15.1.1.3</x:t>
        </x:is>
      </x:c>
      <x:c r="B425" t="inlineStr">
        <x:is>
          <x:t xml:space="preserve">4C,25mm2 + E=SC,16mm2</x:t>
        </x:is>
      </x:c>
      <x:c r="C425" t="inlineStr">
        <x:is>
          <x:t xml:space="preserve">58.00</x:t>
        </x:is>
      </x:c>
      <x:c r="D425" t="inlineStr">
        <x:is>
          <x:t xml:space="preserve">Lm</x:t>
        </x:is>
      </x:c>
      <x:c r="E425" t="inlineStr">
        <x:is>
          <x:t xml:space="preserve">22</x:t>
        </x:is>
      </x:c>
      <x:c r="F425" t="inlineStr">
        <x:is>
          <x:t xml:space="preserve">Covered</x:t>
        </x:is>
      </x:c>
      <x:c r="G425" t="inlineStr">
        <x:is>
          <x:t xml:space="preserve">24</x:t>
        </x:is>
      </x:c>
    </x:row>
    <x:row r="426">
      <x:c r="A426" t="inlineStr">
        <x:is>
          <x:t xml:space="preserve">p24:15.1.2.1</x:t>
        </x:is>
      </x:c>
      <x:c r="B426" t="inlineStr">
        <x:is>
          <x:t xml:space="preserve">4C,35mm2 + E=SC,16mm2</x:t>
        </x:is>
      </x:c>
      <x:c r="C426" t="inlineStr">
        <x:is>
          <x:t xml:space="preserve">125.00</x:t>
        </x:is>
      </x:c>
      <x:c r="D426" t="inlineStr">
        <x:is>
          <x:t xml:space="preserve">Lm</x:t>
        </x:is>
      </x:c>
      <x:c r="E426" t="inlineStr">
        <x:is>
          <x:t xml:space="preserve">22</x:t>
        </x:is>
      </x:c>
      <x:c r="F426" t="inlineStr">
        <x:is>
          <x:t xml:space="preserve">Covered</x:t>
        </x:is>
      </x:c>
      <x:c r="G426" t="inlineStr">
        <x:is>
          <x:t xml:space="preserve">24</x:t>
        </x:is>
      </x:c>
    </x:row>
    <x:row r="427">
      <x:c r="A427" t="inlineStr">
        <x:is>
          <x:t xml:space="preserve">p24:15.1.2.2</x:t>
        </x:is>
      </x:c>
      <x:c r="B427" t="inlineStr">
        <x:is>
          <x:t xml:space="preserve">4C,70mm2 + E=SC,35mm2</x:t>
        </x:is>
      </x:c>
      <x:c r="C427" t="inlineStr">
        <x:is>
          <x:t xml:space="preserve">235.00</x:t>
        </x:is>
      </x:c>
      <x:c r="D427" t="inlineStr">
        <x:is>
          <x:t xml:space="preserve">Lm</x:t>
        </x:is>
      </x:c>
      <x:c r="E427" t="inlineStr">
        <x:is>
          <x:t xml:space="preserve">22</x:t>
        </x:is>
      </x:c>
      <x:c r="F427" t="inlineStr">
        <x:is>
          <x:t xml:space="preserve">Covered</x:t>
        </x:is>
      </x:c>
      <x:c r="G427" t="inlineStr">
        <x:is>
          <x:t xml:space="preserve">24</x:t>
        </x:is>
      </x:c>
    </x:row>
    <x:row r="428">
      <x:c r="A428" t="inlineStr">
        <x:is>
          <x:t xml:space="preserve">p24:16.1</x:t>
        </x:is>
      </x:c>
      <x:c r="B428" t="inlineStr">
        <x:is>
          <x:t xml:space="preserve">Lift (4 Stops)</x:t>
        </x:is>
      </x:c>
      <x:c r="C428" t="inlineStr">
        <x:is>
          <x:t xml:space="preserve">1</x:t>
        </x:is>
      </x:c>
      <x:c r="D428" t="inlineStr">
        <x:is>
          <x:t xml:space="preserve">No.</x:t>
        </x:is>
      </x:c>
      <x:c r="E428" t="inlineStr">
        <x:is>
          <x:t xml:space="preserve">27</x:t>
        </x:is>
      </x:c>
      <x:c r="F428" t="inlineStr">
        <x:is>
          <x:t xml:space="preserve">Covered</x:t>
        </x:is>
      </x:c>
      <x:c r="G428" t="inlineStr">
        <x:is>
          <x:t xml:space="preserve">24</x:t>
        </x:is>
      </x:c>
    </x:row>
    <x:row r="429">
      <x:c r="A429" t="inlineStr">
        <x:is>
          <x:t xml:space="preserve">p25:18.1.1</x:t>
        </x:is>
      </x:c>
      <x:c r="B429" t="inlineStr">
        <x:is>
          <x:t xml:space="preserve">Clear 60cmx60cm depth = 1m Manholes for power connections</x:t>
        </x:is>
      </x:c>
      <x:c r="C429" t="inlineStr">
        <x:is>
          <x:t xml:space="preserve">5.00</x:t>
        </x:is>
      </x:c>
      <x:c r="D429" t="inlineStr">
        <x:is>
          <x:t xml:space="preserve">No.</x:t>
        </x:is>
      </x:c>
      <x:c r="E429" t="inlineStr">
        <x:is>
          <x:t xml:space="preserve"/>
        </x:is>
      </x:c>
      <x:c r="F429" t="inlineStr">
        <x:is>
          <x:t xml:space="preserve">Missing</x:t>
        </x:is>
      </x:c>
      <x:c r="G429" t="inlineStr">
        <x:is>
          <x:t xml:space="preserve">25</x:t>
        </x:is>
      </x:c>
    </x:row>
    <x:row r="430">
      <x:c r="A430" t="inlineStr">
        <x:is>
          <x:t xml:space="preserve">p25:18.1.2</x:t>
        </x:is>
      </x:c>
      <x:c r="B430" t="inlineStr">
        <x:is>
          <x:t xml:space="preserve">Clear 30cmx30cm depth = 1m Manholes for low current connections</x:t>
        </x:is>
      </x:c>
      <x:c r="C430" t="inlineStr">
        <x:is>
          <x:t xml:space="preserve">5.00</x:t>
        </x:is>
      </x:c>
      <x:c r="D430" t="inlineStr">
        <x:is>
          <x:t xml:space="preserve">No.</x:t>
        </x:is>
      </x:c>
      <x:c r="E430" t="inlineStr">
        <x:is>
          <x:t xml:space="preserve"/>
        </x:is>
      </x:c>
      <x:c r="F430" t="inlineStr">
        <x:is>
          <x:t xml:space="preserve">Missing</x:t>
        </x:is>
      </x:c>
      <x:c r="G430" t="inlineStr">
        <x:is>
          <x:t xml:space="preserve">25</x:t>
        </x:is>
      </x:c>
    </x:row>
    <x:row r="431">
      <x:c r="A431" t="inlineStr">
        <x:is>
          <x:t xml:space="preserve">p25:18.1.3</x:t>
        </x:is>
      </x:c>
      <x:c r="B431" t="inlineStr">
        <x:is>
          <x:t xml:space="preserve">150mm PVC sleeve for power connections</x:t>
        </x:is>
      </x:c>
      <x:c r="C431" t="inlineStr">
        <x:is>
          <x:t xml:space="preserve">42.00</x:t>
        </x:is>
      </x:c>
      <x:c r="D431" t="inlineStr">
        <x:is>
          <x:t xml:space="preserve">Lm</x:t>
        </x:is>
      </x:c>
      <x:c r="E431" t="inlineStr">
        <x:is>
          <x:t xml:space="preserve"/>
        </x:is>
      </x:c>
      <x:c r="F431" t="inlineStr">
        <x:is>
          <x:t xml:space="preserve">Missing</x:t>
        </x:is>
      </x:c>
      <x:c r="G431" t="inlineStr">
        <x:is>
          <x:t xml:space="preserve">25</x:t>
        </x:is>
      </x:c>
    </x:row>
    <x:row r="432">
      <x:c r="A432" t="inlineStr">
        <x:is>
          <x:t xml:space="preserve">p25:18.1.4</x:t>
        </x:is>
      </x:c>
      <x:c r="B432" t="inlineStr">
        <x:is>
          <x:t xml:space="preserve">50mm PVC sleeve for low current connections</x:t>
        </x:is>
      </x:c>
      <x:c r="C432" t="inlineStr">
        <x:is>
          <x:t xml:space="preserve">42.00</x:t>
        </x:is>
      </x:c>
      <x:c r="D432" t="inlineStr">
        <x:is>
          <x:t xml:space="preserve">Lm</x:t>
        </x:is>
      </x:c>
      <x:c r="E432" t="inlineStr">
        <x:is>
          <x:t xml:space="preserve"/>
        </x:is>
      </x:c>
      <x:c r="F432" t="inlineStr">
        <x:is>
          <x:t xml:space="preserve">Missing</x:t>
        </x:is>
      </x:c>
      <x:c r="G432" t="inlineStr">
        <x:is>
          <x:t xml:space="preserve">25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20" hidden="0" customWidth="1"/>
    <x:col min="2" max="2" width="16" hidden="0" customWidth="1"/>
    <x:col min="3" max="3" width="18" hidden="0" customWidth="1"/>
    <x:col min="4" max="4" width="95" hidden="0" customWidth="1"/>
    <x:col min="5" max="5" width="75" hidden="0" customWidth="1"/>
    <x:col min="6" max="6" width="95" hidden="0" customWidth="1"/>
    <x:col min="7" max="7" width="26" hidden="0" customWidth="1"/>
  </x:cols>
  <x:sheetData>
    <x:row r="1">
      <x:c r="A1" t="inlineStr">
        <x:is>
          <x:t xml:space="preserve">QA Status</x:t>
        </x:is>
      </x:c>
      <x:c r="B1" t="inlineStr">
        <x:is>
          <x:t xml:space="preserve">BLOCKED</x:t>
        </x:is>
      </x:c>
    </x:row>
    <x:row r="2" ht="34" customHeight="1">
      <x:c r="A2" s="25" t="inlineStr">
        <x:is>
          <x:t xml:space="preserve">Finding ID</x:t>
        </x:is>
      </x:c>
      <x:c r="B2" s="25" t="inlineStr">
        <x:is>
          <x:t xml:space="preserve">Severity</x:t>
        </x:is>
      </x:c>
      <x:c r="C2" s="25" t="inlineStr">
        <x:is>
          <x:t xml:space="preserve">Activity IDs</x:t>
        </x:is>
      </x:c>
      <x:c r="D2" s="25" t="inlineStr">
        <x:is>
          <x:t xml:space="preserve">Issue</x:t>
        </x:is>
      </x:c>
      <x:c r="E2" s="25" t="inlineStr">
        <x:is>
          <x:t xml:space="preserve">Violated Rule</x:t>
        </x:is>
      </x:c>
      <x:c r="F2" s="25" t="inlineStr">
        <x:is>
          <x:t xml:space="preserve">Proposed Correction</x:t>
        </x:is>
      </x:c>
      <x:c r="G2" s="25" t="inlineStr">
        <x:is>
          <x:t xml:space="preserve">Human Approval Required</x:t>
        </x:is>
      </x:c>
    </x:row>
    <x:row r="3">
      <x:c r="A3" t="inlineStr">
        <x:is>
          <x:t xml:space="preserve">CAL-0001</x:t>
        </x:is>
      </x:c>
      <x:c r="B3" t="inlineStr">
        <x:is>
          <x:t xml:space="preserve">CRITICAL</x:t>
        </x:is>
      </x:c>
      <x:c r="C3" t="inlineStr">
        <x:is>
          <x:t xml:space="preserve">1</x:t>
        </x:is>
      </x:c>
      <x:c r="D3" t="inlineStr">
        <x:is>
          <x:t xml:space="preserve">Activity starts or finishes on a non-working day</x:t>
        </x:is>
      </x:c>
      <x:c r="E3" t="inlineStr">
        <x:is>
          <x:t xml:space="preserve">All dates and durations must use the selected project calendar</x:t>
        </x:is>
      </x:c>
      <x:c r="F3" t="inlineStr">
        <x:is>
          <x:t xml:space="preserve">Recalculate the activity against the reviewed calendar.</x:t>
        </x:is>
      </x:c>
      <x:c r="G3" t="inlineStr">
        <x:is>
          <x:t xml:space="preserve">Yes</x:t>
        </x:is>
      </x:c>
    </x:row>
    <x:row r="4">
      <x:c r="A4" t="inlineStr">
        <x:is>
          <x:t xml:space="preserve">CAL-0002</x:t>
        </x:is>
      </x:c>
      <x:c r="B4" t="inlineStr">
        <x:is>
          <x:t xml:space="preserve">CRITICAL</x:t>
        </x:is>
      </x:c>
      <x:c r="C4" t="inlineStr">
        <x:is>
          <x:t xml:space="preserve">2</x:t>
        </x:is>
      </x:c>
      <x:c r="D4" t="inlineStr">
        <x:is>
          <x:t xml:space="preserve">Activity starts or finishes on a non-working day</x:t>
        </x:is>
      </x:c>
      <x:c r="E4" t="inlineStr">
        <x:is>
          <x:t xml:space="preserve">All dates and durations must use the selected project calendar</x:t>
        </x:is>
      </x:c>
      <x:c r="F4" t="inlineStr">
        <x:is>
          <x:t xml:space="preserve">Recalculate the activity against the reviewed calendar.</x:t>
        </x:is>
      </x:c>
      <x:c r="G4" t="inlineStr">
        <x:is>
          <x:t xml:space="preserve">Yes</x:t>
        </x:is>
      </x:c>
    </x:row>
    <x:row r="5">
      <x:c r="A5" t="inlineStr">
        <x:is>
          <x:t xml:space="preserve">CAL-0003</x:t>
        </x:is>
      </x:c>
      <x:c r="B5" t="inlineStr">
        <x:is>
          <x:t xml:space="preserve">CRITICAL</x:t>
        </x:is>
      </x:c>
      <x:c r="C5" t="inlineStr">
        <x:is>
          <x:t xml:space="preserve">3</x:t>
        </x:is>
      </x:c>
      <x:c r="D5" t="inlineStr">
        <x:is>
          <x:t xml:space="preserve">Activity starts or finishes on a non-working day</x:t>
        </x:is>
      </x:c>
      <x:c r="E5" t="inlineStr">
        <x:is>
          <x:t xml:space="preserve">All dates and durations must use the selected project calendar</x:t>
        </x:is>
      </x:c>
      <x:c r="F5" t="inlineStr">
        <x:is>
          <x:t xml:space="preserve">Recalculate the activity against the reviewed calendar.</x:t>
        </x:is>
      </x:c>
      <x:c r="G5" t="inlineStr">
        <x:is>
          <x:t xml:space="preserve">Yes</x:t>
        </x:is>
      </x:c>
    </x:row>
    <x:row r="6">
      <x:c r="A6" t="inlineStr">
        <x:is>
          <x:t xml:space="preserve">CAL-0004</x:t>
        </x:is>
      </x:c>
      <x:c r="B6" t="inlineStr">
        <x:is>
          <x:t xml:space="preserve">CRITICAL</x:t>
        </x:is>
      </x:c>
      <x:c r="C6" t="inlineStr">
        <x:is>
          <x:t xml:space="preserve">4</x:t>
        </x:is>
      </x:c>
      <x:c r="D6" t="inlineStr">
        <x:is>
          <x:t xml:space="preserve">Activity starts or finishes on a non-working day</x:t>
        </x:is>
      </x:c>
      <x:c r="E6" t="inlineStr">
        <x:is>
          <x:t xml:space="preserve">All dates and durations must use the selected project calendar</x:t>
        </x:is>
      </x:c>
      <x:c r="F6" t="inlineStr">
        <x:is>
          <x:t xml:space="preserve">Recalculate the activity against the reviewed calendar.</x:t>
        </x:is>
      </x:c>
      <x:c r="G6" t="inlineStr">
        <x:is>
          <x:t xml:space="preserve">Yes</x:t>
        </x:is>
      </x:c>
    </x:row>
    <x:row r="7">
      <x:c r="A7" t="inlineStr">
        <x:is>
          <x:t xml:space="preserve">CAL-0005</x:t>
        </x:is>
      </x:c>
      <x:c r="B7" t="inlineStr">
        <x:is>
          <x:t xml:space="preserve">CRITICAL</x:t>
        </x:is>
      </x:c>
      <x:c r="C7" t="inlineStr">
        <x:is>
          <x:t xml:space="preserve">5</x:t>
        </x:is>
      </x:c>
      <x:c r="D7" t="inlineStr">
        <x:is>
          <x:t xml:space="preserve">Activity starts or finishes on a non-working day</x:t>
        </x:is>
      </x:c>
      <x:c r="E7" t="inlineStr">
        <x:is>
          <x:t xml:space="preserve">All dates and durations must use the selected project calendar</x:t>
        </x:is>
      </x:c>
      <x:c r="F7" t="inlineStr">
        <x:is>
          <x:t xml:space="preserve">Recalculate the activity against the reviewed calendar.</x:t>
        </x:is>
      </x:c>
      <x:c r="G7" t="inlineStr">
        <x:is>
          <x:t xml:space="preserve">Yes</x:t>
        </x:is>
      </x:c>
    </x:row>
    <x:row r="8">
      <x:c r="A8" t="inlineStr">
        <x:is>
          <x:t xml:space="preserve">CAL-0006</x:t>
        </x:is>
      </x:c>
      <x:c r="B8" t="inlineStr">
        <x:is>
          <x:t xml:space="preserve">CRITICAL</x:t>
        </x:is>
      </x:c>
      <x:c r="C8" t="inlineStr">
        <x:is>
          <x:t xml:space="preserve">6</x:t>
        </x:is>
      </x:c>
      <x:c r="D8" t="inlineStr">
        <x:is>
          <x:t xml:space="preserve">Activity starts or finishes on a non-working day</x:t>
        </x:is>
      </x:c>
      <x:c r="E8" t="inlineStr">
        <x:is>
          <x:t xml:space="preserve">All dates and durations must use the selected project calendar</x:t>
        </x:is>
      </x:c>
      <x:c r="F8" t="inlineStr">
        <x:is>
          <x:t xml:space="preserve">Recalculate the activity against the reviewed calendar.</x:t>
        </x:is>
      </x:c>
      <x:c r="G8" t="inlineStr">
        <x:is>
          <x:t xml:space="preserve">Yes</x:t>
        </x:is>
      </x:c>
    </x:row>
    <x:row r="9">
      <x:c r="A9" t="inlineStr">
        <x:is>
          <x:t xml:space="preserve">CAL-0007</x:t>
        </x:is>
      </x:c>
      <x:c r="B9" t="inlineStr">
        <x:is>
          <x:t xml:space="preserve">CRITICAL</x:t>
        </x:is>
      </x:c>
      <x:c r="C9" t="inlineStr">
        <x:is>
          <x:t xml:space="preserve">8</x:t>
        </x:is>
      </x:c>
      <x:c r="D9" t="inlineStr">
        <x:is>
          <x:t xml:space="preserve">Activity starts or finishes on a non-working day</x:t>
        </x:is>
      </x:c>
      <x:c r="E9" t="inlineStr">
        <x:is>
          <x:t xml:space="preserve">All dates and durations must use the selected project calendar</x:t>
        </x:is>
      </x:c>
      <x:c r="F9" t="inlineStr">
        <x:is>
          <x:t xml:space="preserve">Recalculate the activity against the reviewed calendar.</x:t>
        </x:is>
      </x:c>
      <x:c r="G9" t="inlineStr">
        <x:is>
          <x:t xml:space="preserve">Yes</x:t>
        </x:is>
      </x:c>
    </x:row>
    <x:row r="10">
      <x:c r="A10" t="inlineStr">
        <x:is>
          <x:t xml:space="preserve">CAL-0008</x:t>
        </x:is>
      </x:c>
      <x:c r="B10" t="inlineStr">
        <x:is>
          <x:t xml:space="preserve">CRITICAL</x:t>
        </x:is>
      </x:c>
      <x:c r="C10" t="inlineStr">
        <x:is>
          <x:t xml:space="preserve">13</x:t>
        </x:is>
      </x:c>
      <x:c r="D10" t="inlineStr">
        <x:is>
          <x:t xml:space="preserve">Activity starts or finishes on a non-working day</x:t>
        </x:is>
      </x:c>
      <x:c r="E10" t="inlineStr">
        <x:is>
          <x:t xml:space="preserve">All dates and durations must use the selected project calendar</x:t>
        </x:is>
      </x:c>
      <x:c r="F10" t="inlineStr">
        <x:is>
          <x:t xml:space="preserve">Recalculate the activity against the reviewed calendar.</x:t>
        </x:is>
      </x:c>
      <x:c r="G10" t="inlineStr">
        <x:is>
          <x:t xml:space="preserve">Yes</x:t>
        </x:is>
      </x:c>
    </x:row>
    <x:row r="11">
      <x:c r="A11" t="inlineStr">
        <x:is>
          <x:t xml:space="preserve">CAL-0009</x:t>
        </x:is>
      </x:c>
      <x:c r="B11" t="inlineStr">
        <x:is>
          <x:t xml:space="preserve">CRITICAL</x:t>
        </x:is>
      </x:c>
      <x:c r="C11" t="inlineStr">
        <x:is>
          <x:t xml:space="preserve">18</x:t>
        </x:is>
      </x:c>
      <x:c r="D11" t="inlineStr">
        <x:is>
          <x:t xml:space="preserve">Activity starts or finishes on a non-working day</x:t>
        </x:is>
      </x:c>
      <x:c r="E11" t="inlineStr">
        <x:is>
          <x:t xml:space="preserve">All dates and durations must use the selected project calendar</x:t>
        </x:is>
      </x:c>
      <x:c r="F11" t="inlineStr">
        <x:is>
          <x:t xml:space="preserve">Recalculate the activity against the reviewed calendar.</x:t>
        </x:is>
      </x:c>
      <x:c r="G11" t="inlineStr">
        <x:is>
          <x:t xml:space="preserve">Yes</x:t>
        </x:is>
      </x:c>
    </x:row>
    <x:row r="12">
      <x:c r="A12" t="inlineStr">
        <x:is>
          <x:t xml:space="preserve">CAL-0010</x:t>
        </x:is>
      </x:c>
      <x:c r="B12" t="inlineStr">
        <x:is>
          <x:t xml:space="preserve">CRITICAL</x:t>
        </x:is>
      </x:c>
      <x:c r="C12" t="inlineStr">
        <x:is>
          <x:t xml:space="preserve">19</x:t>
        </x:is>
      </x:c>
      <x:c r="D12" t="inlineStr">
        <x:is>
          <x:t xml:space="preserve">Activity starts or finishes on a non-working day</x:t>
        </x:is>
      </x:c>
      <x:c r="E12" t="inlineStr">
        <x:is>
          <x:t xml:space="preserve">All dates and durations must use the selected project calendar</x:t>
        </x:is>
      </x:c>
      <x:c r="F12" t="inlineStr">
        <x:is>
          <x:t xml:space="preserve">Recalculate the activity against the reviewed calendar.</x:t>
        </x:is>
      </x:c>
      <x:c r="G12" t="inlineStr">
        <x:is>
          <x:t xml:space="preserve">Yes</x:t>
        </x:is>
      </x:c>
    </x:row>
    <x:row r="13">
      <x:c r="A13" t="inlineStr">
        <x:is>
          <x:t xml:space="preserve">COV-0011</x:t>
        </x:is>
      </x:c>
      <x:c r="B13" t="inlineStr">
        <x:is>
          <x:t xml:space="preserve">CRITICAL</x:t>
        </x:is>
      </x:c>
      <x:c r="C13" t="inlineStr">
        <x:is>
          <x:t xml:space="preserve">22</x:t>
        </x:is>
      </x:c>
      <x:c r="D13" t="inlineStr">
        <x:is>
          <x:t xml:space="preserve">Activity cites unknown BOQ reference p16:4.1.1</x:t>
        </x:is>
      </x:c>
      <x:c r="E13" t="inlineStr">
        <x:is>
          <x:t xml:space="preserve">Activity evidence must resolve to an extracted BOQ item</x:t>
        </x:is>
      </x:c>
      <x:c r="F13" t="inlineStr">
        <x:is>
          <x:t xml:space="preserve">Replace the reference with exact source evidence or remove the claim.</x:t>
        </x:is>
      </x:c>
      <x:c r="G13" t="inlineStr">
        <x:is>
          <x:t xml:space="preserve">Yes</x:t>
        </x:is>
      </x:c>
    </x:row>
    <x:row r="14">
      <x:c r="A14" t="inlineStr">
        <x:is>
          <x:t xml:space="preserve">COV-0012</x:t>
        </x:is>
      </x:c>
      <x:c r="B14" t="inlineStr">
        <x:is>
          <x:t xml:space="preserve">CRITICAL</x:t>
        </x:is>
      </x:c>
      <x:c r="C14" t="inlineStr">
        <x:is>
          <x:t xml:space="preserve">22</x:t>
        </x:is>
      </x:c>
      <x:c r="D14" t="inlineStr">
        <x:is>
          <x:t xml:space="preserve">Activity cites unknown BOQ reference p16:4.1.2</x:t>
        </x:is>
      </x:c>
      <x:c r="E14" t="inlineStr">
        <x:is>
          <x:t xml:space="preserve">Activity evidence must resolve to an extracted BOQ item</x:t>
        </x:is>
      </x:c>
      <x:c r="F14" t="inlineStr">
        <x:is>
          <x:t xml:space="preserve">Replace the reference with exact source evidence or remove the claim.</x:t>
        </x:is>
      </x:c>
      <x:c r="G14" t="inlineStr">
        <x:is>
          <x:t xml:space="preserve">Yes</x:t>
        </x:is>
      </x:c>
    </x:row>
    <x:row r="15">
      <x:c r="A15" t="inlineStr">
        <x:is>
          <x:t xml:space="preserve">COV-0013</x:t>
        </x:is>
      </x:c>
      <x:c r="B15" t="inlineStr">
        <x:is>
          <x:t xml:space="preserve">CRITICAL</x:t>
        </x:is>
      </x:c>
      <x:c r="C15" t="inlineStr">
        <x:is>
          <x:t xml:space="preserve">22</x:t>
        </x:is>
      </x:c>
      <x:c r="D15" t="inlineStr">
        <x:is>
          <x:t xml:space="preserve">Activity cites unknown BOQ reference p16:4.1.3</x:t>
        </x:is>
      </x:c>
      <x:c r="E15" t="inlineStr">
        <x:is>
          <x:t xml:space="preserve">Activity evidence must resolve to an extracted BOQ item</x:t>
        </x:is>
      </x:c>
      <x:c r="F15" t="inlineStr">
        <x:is>
          <x:t xml:space="preserve">Replace the reference with exact source evidence or remove the claim.</x:t>
        </x:is>
      </x:c>
      <x:c r="G15" t="inlineStr">
        <x:is>
          <x:t xml:space="preserve">Yes</x:t>
        </x:is>
      </x:c>
    </x:row>
    <x:row r="16">
      <x:c r="A16" t="inlineStr">
        <x:is>
          <x:t xml:space="preserve">COV-0014</x:t>
        </x:is>
      </x:c>
      <x:c r="B16" t="inlineStr">
        <x:is>
          <x:t xml:space="preserve">CRITICAL</x:t>
        </x:is>
      </x:c>
      <x:c r="C16" t="inlineStr">
        <x:is>
          <x:t xml:space="preserve">22</x:t>
        </x:is>
      </x:c>
      <x:c r="D16" t="inlineStr">
        <x:is>
          <x:t xml:space="preserve">Activity cites unknown BOQ reference p16:4.1.4</x:t>
        </x:is>
      </x:c>
      <x:c r="E16" t="inlineStr">
        <x:is>
          <x:t xml:space="preserve">Activity evidence must resolve to an extracted BOQ item</x:t>
        </x:is>
      </x:c>
      <x:c r="F16" t="inlineStr">
        <x:is>
          <x:t xml:space="preserve">Replace the reference with exact source evidence or remove the claim.</x:t>
        </x:is>
      </x:c>
      <x:c r="G16" t="inlineStr">
        <x:is>
          <x:t xml:space="preserve">Yes</x:t>
        </x:is>
      </x:c>
    </x:row>
    <x:row r="17">
      <x:c r="A17" t="inlineStr">
        <x:is>
          <x:t xml:space="preserve">CAL-0015</x:t>
        </x:is>
      </x:c>
      <x:c r="B17" t="inlineStr">
        <x:is>
          <x:t xml:space="preserve">CRITICAL</x:t>
        </x:is>
      </x:c>
      <x:c r="C17" t="inlineStr">
        <x:is>
          <x:t xml:space="preserve">24</x:t>
        </x:is>
      </x:c>
      <x:c r="D17" t="inlineStr">
        <x:is>
          <x:t xml:space="preserve">Activity starts or finishes on a non-working day</x:t>
        </x:is>
      </x:c>
      <x:c r="E17" t="inlineStr">
        <x:is>
          <x:t xml:space="preserve">All dates and durations must use the selected project calendar</x:t>
        </x:is>
      </x:c>
      <x:c r="F17" t="inlineStr">
        <x:is>
          <x:t xml:space="preserve">Recalculate the activity against the reviewed calendar.</x:t>
        </x:is>
      </x:c>
      <x:c r="G17" t="inlineStr">
        <x:is>
          <x:t xml:space="preserve">Yes</x:t>
        </x:is>
      </x:c>
    </x:row>
    <x:row r="18">
      <x:c r="A18" t="inlineStr">
        <x:is>
          <x:t xml:space="preserve">CAL-0016</x:t>
        </x:is>
      </x:c>
      <x:c r="B18" t="inlineStr">
        <x:is>
          <x:t xml:space="preserve">CRITICAL</x:t>
        </x:is>
      </x:c>
      <x:c r="C18" t="inlineStr">
        <x:is>
          <x:t xml:space="preserve">27</x:t>
        </x:is>
      </x:c>
      <x:c r="D18" t="inlineStr">
        <x:is>
          <x:t xml:space="preserve">Activity starts or finishes on a non-working day</x:t>
        </x:is>
      </x:c>
      <x:c r="E18" t="inlineStr">
        <x:is>
          <x:t xml:space="preserve">All dates and durations must use the selected project calendar</x:t>
        </x:is>
      </x:c>
      <x:c r="F18" t="inlineStr">
        <x:is>
          <x:t xml:space="preserve">Recalculate the activity against the reviewed calendar.</x:t>
        </x:is>
      </x:c>
      <x:c r="G18" t="inlineStr">
        <x:is>
          <x:t xml:space="preserve">Yes</x:t>
        </x:is>
      </x:c>
    </x:row>
    <x:row r="19">
      <x:c r="A19" t="inlineStr">
        <x:is>
          <x:t xml:space="preserve">CAL-0017</x:t>
        </x:is>
      </x:c>
      <x:c r="B19" t="inlineStr">
        <x:is>
          <x:t xml:space="preserve">CRITICAL</x:t>
        </x:is>
      </x:c>
      <x:c r="C19" t="inlineStr">
        <x:is>
          <x:t xml:space="preserve">29</x:t>
        </x:is>
      </x:c>
      <x:c r="D19" t="inlineStr">
        <x:is>
          <x:t xml:space="preserve">Activity starts or finishes on a non-working day</x:t>
        </x:is>
      </x:c>
      <x:c r="E19" t="inlineStr">
        <x:is>
          <x:t xml:space="preserve">All dates and durations must use the selected project calendar</x:t>
        </x:is>
      </x:c>
      <x:c r="F19" t="inlineStr">
        <x:is>
          <x:t xml:space="preserve">Recalculate the activity against the reviewed calendar.</x:t>
        </x:is>
      </x:c>
      <x:c r="G19" t="inlineStr">
        <x:is>
          <x:t xml:space="preserve">Yes</x:t>
        </x:is>
      </x:c>
    </x:row>
    <x:row r="20">
      <x:c r="A20" t="inlineStr">
        <x:is>
          <x:t xml:space="preserve">CAL-0018</x:t>
        </x:is>
      </x:c>
      <x:c r="B20" t="inlineStr">
        <x:is>
          <x:t xml:space="preserve">CRITICAL</x:t>
        </x:is>
      </x:c>
      <x:c r="C20" t="inlineStr">
        <x:is>
          <x:t xml:space="preserve">35</x:t>
        </x:is>
      </x:c>
      <x:c r="D20" t="inlineStr">
        <x:is>
          <x:t xml:space="preserve">Activity starts or finishes on a non-working day</x:t>
        </x:is>
      </x:c>
      <x:c r="E20" t="inlineStr">
        <x:is>
          <x:t xml:space="preserve">All dates and durations must use the selected project calendar</x:t>
        </x:is>
      </x:c>
      <x:c r="F20" t="inlineStr">
        <x:is>
          <x:t xml:space="preserve">Recalculate the activity against the reviewed calendar.</x:t>
        </x:is>
      </x:c>
      <x:c r="G20" t="inlineStr">
        <x:is>
          <x:t xml:space="preserve">Yes</x:t>
        </x:is>
      </x:c>
    </x:row>
    <x:row r="21">
      <x:c r="A21" t="inlineStr">
        <x:is>
          <x:t xml:space="preserve">COV-0019</x:t>
        </x:is>
      </x:c>
      <x:c r="B21" t="inlineStr">
        <x:is>
          <x:t xml:space="preserve">HIGH</x:t>
        </x:is>
      </x:c>
      <x:c r="C21" t="inlineStr">
        <x:is>
          <x:t xml:space="preserve">1,33</x:t>
        </x:is>
      </x:c>
      <x:c r="D21" t="inlineStr">
        <x:is>
          <x:t xml:space="preserve">BOQ item p1:1.1 is allocated more than once</x:t>
        </x:is>
      </x:c>
      <x:c r="E21" t="inlineStr">
        <x:is>
          <x:t xml:space="preserve">Measured quantities cannot be duplicated without an explicit allocation</x:t>
        </x:is>
      </x:c>
      <x:c r="F21" t="inlineStr">
        <x:is>
          <x:t xml:space="preserve">Partition the quantity explicitly or retain one accountable activity mapping.</x:t>
        </x:is>
      </x:c>
      <x:c r="G21" t="inlineStr">
        <x:is>
          <x:t xml:space="preserve">Yes</x:t>
        </x:is>
      </x:c>
    </x:row>
    <x:row r="22">
      <x:c r="A22" t="inlineStr">
        <x:is>
          <x:t xml:space="preserve">COV-0020</x:t>
        </x:is>
      </x:c>
      <x:c r="B22" t="inlineStr">
        <x:is>
          <x:t xml:space="preserve">HIGH</x:t>
        </x:is>
      </x:c>
      <x:c r="C22" t="inlineStr">
        <x:is>
          <x:t xml:space="preserve">1,34</x:t>
        </x:is>
      </x:c>
      <x:c r="D22" t="inlineStr">
        <x:is>
          <x:t xml:space="preserve">BOQ item p1:1.3 is allocated more than once</x:t>
        </x:is>
      </x:c>
      <x:c r="E22" t="inlineStr">
        <x:is>
          <x:t xml:space="preserve">Measured quantities cannot be duplicated without an explicit allocation</x:t>
        </x:is>
      </x:c>
      <x:c r="F22" t="inlineStr">
        <x:is>
          <x:t xml:space="preserve">Partition the quantity explicitly or retain one accountable activity mapping.</x:t>
        </x:is>
      </x:c>
      <x:c r="G22" t="inlineStr">
        <x:is>
          <x:t xml:space="preserve">Yes</x:t>
        </x:is>
      </x:c>
    </x:row>
    <x:row r="23">
      <x:c r="A23" t="inlineStr">
        <x:is>
          <x:t xml:space="preserve">COV-0021</x:t>
        </x:is>
      </x:c>
      <x:c r="B23" t="inlineStr">
        <x:is>
          <x:t xml:space="preserve">HIGH</x:t>
        </x:is>
      </x:c>
      <x:c r="C23" t="inlineStr">
        <x:is>
          <x:t xml:space="preserve">3,32</x:t>
        </x:is>
      </x:c>
      <x:c r="D23" t="inlineStr">
        <x:is>
          <x:t xml:space="preserve">BOQ item p1:1.6 is allocated more than once</x:t>
        </x:is>
      </x:c>
      <x:c r="E23" t="inlineStr">
        <x:is>
          <x:t xml:space="preserve">Measured quantities cannot be duplicated without an explicit allocation</x:t>
        </x:is>
      </x:c>
      <x:c r="F23" t="inlineStr">
        <x:is>
          <x:t xml:space="preserve">Partition the quantity explicitly or retain one accountable activity mapping.</x:t>
        </x:is>
      </x:c>
      <x:c r="G23" t="inlineStr">
        <x:is>
          <x:t xml:space="preserve">Yes</x:t>
        </x:is>
      </x:c>
    </x:row>
    <x:row r="24">
      <x:c r="A24" t="inlineStr">
        <x:is>
          <x:t xml:space="preserve">COV-0022</x:t>
        </x:is>
      </x:c>
      <x:c r="B24" t="inlineStr">
        <x:is>
          <x:t xml:space="preserve">HIGH</x:t>
        </x:is>
      </x:c>
      <x:c r="C24" t="inlineStr">
        <x:is>
          <x:t xml:space="preserve">3,32</x:t>
        </x:is>
      </x:c>
      <x:c r="D24" t="inlineStr">
        <x:is>
          <x:t xml:space="preserve">BOQ item p1:1.9 is allocated more than once</x:t>
        </x:is>
      </x:c>
      <x:c r="E24" t="inlineStr">
        <x:is>
          <x:t xml:space="preserve">Measured quantities cannot be duplicated without an explicit allocation</x:t>
        </x:is>
      </x:c>
      <x:c r="F24" t="inlineStr">
        <x:is>
          <x:t xml:space="preserve">Partition the quantity explicitly or retain one accountable activity mapping.</x:t>
        </x:is>
      </x:c>
      <x:c r="G24" t="inlineStr">
        <x:is>
          <x:t xml:space="preserve">Yes</x:t>
        </x:is>
      </x:c>
    </x:row>
    <x:row r="25">
      <x:c r="A25" t="inlineStr">
        <x:is>
          <x:t xml:space="preserve">COV-0023</x:t>
        </x:is>
      </x:c>
      <x:c r="B25" t="inlineStr">
        <x:is>
          <x:t xml:space="preserve">HIGH</x:t>
        </x:is>
      </x:c>
      <x:c r="C25" t="inlineStr">
        <x:is>
          <x:t xml:space="preserve">14,30,33</x:t>
        </x:is>
      </x:c>
      <x:c r="D25" t="inlineStr">
        <x:is>
          <x:t xml:space="preserve">BOQ item p1:1.10 is allocated more than once</x:t>
        </x:is>
      </x:c>
      <x:c r="E25" t="inlineStr">
        <x:is>
          <x:t xml:space="preserve">Measured quantities cannot be duplicated without an explicit allocation</x:t>
        </x:is>
      </x:c>
      <x:c r="F25" t="inlineStr">
        <x:is>
          <x:t xml:space="preserve">Partition the quantity explicitly or retain one accountable activity mapping.</x:t>
        </x:is>
      </x:c>
      <x:c r="G25" t="inlineStr">
        <x:is>
          <x:t xml:space="preserve">Yes</x:t>
        </x:is>
      </x:c>
    </x:row>
    <x:row r="26">
      <x:c r="A26" t="inlineStr">
        <x:is>
          <x:t xml:space="preserve">COV-0024</x:t>
        </x:is>
      </x:c>
      <x:c r="B26" t="inlineStr">
        <x:is>
          <x:t xml:space="preserve">HIGH</x:t>
        </x:is>
      </x:c>
      <x:c r="C26" t="inlineStr">
        <x:is>
          <x:t xml:space="preserve">1,35</x:t>
        </x:is>
      </x:c>
      <x:c r="D26" t="inlineStr">
        <x:is>
          <x:t xml:space="preserve">BOQ item p1:1.13 is allocated more than once</x:t>
        </x:is>
      </x:c>
      <x:c r="E26" t="inlineStr">
        <x:is>
          <x:t xml:space="preserve">Measured quantities cannot be duplicated without an explicit allocation</x:t>
        </x:is>
      </x:c>
      <x:c r="F26" t="inlineStr">
        <x:is>
          <x:t xml:space="preserve">Partition the quantity explicitly or retain one accountable activity mapping.</x:t>
        </x:is>
      </x:c>
      <x:c r="G26" t="inlineStr">
        <x:is>
          <x:t xml:space="preserve">Yes</x:t>
        </x:is>
      </x:c>
    </x:row>
    <x:row r="27">
      <x:c r="A27" t="inlineStr">
        <x:is>
          <x:t xml:space="preserve">COV-0025</x:t>
        </x:is>
      </x:c>
      <x:c r="B27" t="inlineStr">
        <x:is>
          <x:t xml:space="preserve">HIGH</x:t>
        </x:is>
      </x:c>
      <x:c r="C27" t="inlineStr">
        <x:is>
          <x:t xml:space="preserve">16,18</x:t>
        </x:is>
      </x:c>
      <x:c r="D27" t="inlineStr">
        <x:is>
          <x:t xml:space="preserve">BOQ item p8:9.5.3.1 is allocated more than once</x:t>
        </x:is>
      </x:c>
      <x:c r="E27" t="inlineStr">
        <x:is>
          <x:t xml:space="preserve">Measured quantities cannot be duplicated without an explicit allocation</x:t>
        </x:is>
      </x:c>
      <x:c r="F27" t="inlineStr">
        <x:is>
          <x:t xml:space="preserve">Partition the quantity explicitly or retain one accountable activity mapping.</x:t>
        </x:is>
      </x:c>
      <x:c r="G27" t="inlineStr">
        <x:is>
          <x:t xml:space="preserve">Yes</x:t>
        </x:is>
      </x:c>
    </x:row>
    <x:row r="28">
      <x:c r="A28" t="inlineStr">
        <x:is>
          <x:t xml:space="preserve">COV-0026</x:t>
        </x:is>
      </x:c>
      <x:c r="B28" t="inlineStr">
        <x:is>
          <x:t xml:space="preserve">HIGH</x:t>
        </x:is>
      </x:c>
      <x:c r="C28" t="inlineStr">
        <x:is>
          <x:t xml:space="preserve">21,29</x:t>
        </x:is>
      </x:c>
      <x:c r="D28" t="inlineStr">
        <x:is>
          <x:t xml:space="preserve">BOQ item p8:9.7.2.1 is allocated more than once</x:t>
        </x:is>
      </x:c>
      <x:c r="E28" t="inlineStr">
        <x:is>
          <x:t xml:space="preserve">Measured quantities cannot be duplicated without an explicit allocation</x:t>
        </x:is>
      </x:c>
      <x:c r="F28" t="inlineStr">
        <x:is>
          <x:t xml:space="preserve">Partition the quantity explicitly or retain one accountable activity mapping.</x:t>
        </x:is>
      </x:c>
      <x:c r="G28" t="inlineStr">
        <x:is>
          <x:t xml:space="preserve">Yes</x:t>
        </x:is>
      </x:c>
    </x:row>
    <x:row r="29">
      <x:c r="A29" t="inlineStr">
        <x:is>
          <x:t xml:space="preserve">COV-0027</x:t>
        </x:is>
      </x:c>
      <x:c r="B29" t="inlineStr">
        <x:is>
          <x:t xml:space="preserve">HIGH</x:t>
        </x:is>
      </x:c>
      <x:c r="C29" t="inlineStr">
        <x:is>
          <x:t xml:space="preserve">21,29</x:t>
        </x:is>
      </x:c>
      <x:c r="D29" t="inlineStr">
        <x:is>
          <x:t xml:space="preserve">BOQ item p8:9.7.2.2 is allocated more than once</x:t>
        </x:is>
      </x:c>
      <x:c r="E29" t="inlineStr">
        <x:is>
          <x:t xml:space="preserve">Measured quantities cannot be duplicated without an explicit allocation</x:t>
        </x:is>
      </x:c>
      <x:c r="F29" t="inlineStr">
        <x:is>
          <x:t xml:space="preserve">Partition the quantity explicitly or retain one accountable activity mapping.</x:t>
        </x:is>
      </x:c>
      <x:c r="G29" t="inlineStr">
        <x:is>
          <x:t xml:space="preserve">Yes</x:t>
        </x:is>
      </x:c>
    </x:row>
    <x:row r="30">
      <x:c r="A30" t="inlineStr">
        <x:is>
          <x:t xml:space="preserve">COV-0028</x:t>
        </x:is>
      </x:c>
      <x:c r="B30" t="inlineStr">
        <x:is>
          <x:t xml:space="preserve">HIGH</x:t>
        </x:is>
      </x:c>
      <x:c r="C30" t="inlineStr">
        <x:is>
          <x:t xml:space="preserve">12,16</x:t>
        </x:is>
      </x:c>
      <x:c r="D30" t="inlineStr">
        <x:is>
          <x:t xml:space="preserve">BOQ item p10:2.2 is allocated more than once</x:t>
        </x:is>
      </x:c>
      <x:c r="E30" t="inlineStr">
        <x:is>
          <x:t xml:space="preserve">Measured quantities cannot be duplicated without an explicit allocation</x:t>
        </x:is>
      </x:c>
      <x:c r="F30" t="inlineStr">
        <x:is>
          <x:t xml:space="preserve">Partition the quantity explicitly or retain one accountable activity mapping.</x:t>
        </x:is>
      </x:c>
      <x:c r="G30" t="inlineStr">
        <x:is>
          <x:t xml:space="preserve">Yes</x:t>
        </x:is>
      </x:c>
    </x:row>
    <x:row r="31">
      <x:c r="A31" t="inlineStr">
        <x:is>
          <x:t xml:space="preserve">COV-0029</x:t>
        </x:is>
      </x:c>
      <x:c r="B31" t="inlineStr">
        <x:is>
          <x:t xml:space="preserve">HIGH</x:t>
        </x:is>
      </x:c>
      <x:c r="C31" t="inlineStr">
        <x:is>
          <x:t xml:space="preserve">12,16</x:t>
        </x:is>
      </x:c>
      <x:c r="D31" t="inlineStr">
        <x:is>
          <x:t xml:space="preserve">BOQ item p10:2.3 is allocated more than once</x:t>
        </x:is>
      </x:c>
      <x:c r="E31" t="inlineStr">
        <x:is>
          <x:t xml:space="preserve">Measured quantities cannot be duplicated without an explicit allocation</x:t>
        </x:is>
      </x:c>
      <x:c r="F31" t="inlineStr">
        <x:is>
          <x:t xml:space="preserve">Partition the quantity explicitly or retain one accountable activity mapping.</x:t>
        </x:is>
      </x:c>
      <x:c r="G31" t="inlineStr">
        <x:is>
          <x:t xml:space="preserve">Yes</x:t>
        </x:is>
      </x:c>
    </x:row>
    <x:row r="32">
      <x:c r="A32" t="inlineStr">
        <x:is>
          <x:t xml:space="preserve">COV-0030</x:t>
        </x:is>
      </x:c>
      <x:c r="B32" t="inlineStr">
        <x:is>
          <x:t xml:space="preserve">HIGH</x:t>
        </x:is>
      </x:c>
      <x:c r="C32" t="inlineStr">
        <x:is>
          <x:t xml:space="preserve">13,31</x:t>
        </x:is>
      </x:c>
      <x:c r="D32" t="inlineStr">
        <x:is>
          <x:t xml:space="preserve">BOQ item p14:6.3 is allocated more than once</x:t>
        </x:is>
      </x:c>
      <x:c r="E32" t="inlineStr">
        <x:is>
          <x:t xml:space="preserve">Measured quantities cannot be duplicated without an explicit allocation</x:t>
        </x:is>
      </x:c>
      <x:c r="F32" t="inlineStr">
        <x:is>
          <x:t xml:space="preserve">Partition the quantity explicitly or retain one accountable activity mapping.</x:t>
        </x:is>
      </x:c>
      <x:c r="G32" t="inlineStr">
        <x:is>
          <x:t xml:space="preserve">Yes</x:t>
        </x:is>
      </x:c>
    </x:row>
    <x:row r="33">
      <x:c r="A33" t="inlineStr">
        <x:is>
          <x:t xml:space="preserve">COV-0031</x:t>
        </x:is>
      </x:c>
      <x:c r="B33" t="inlineStr">
        <x:is>
          <x:t xml:space="preserve">HIGH</x:t>
        </x:is>
      </x:c>
      <x:c r="C33" t="inlineStr">
        <x:is>
          <x:t xml:space="preserve">13,31</x:t>
        </x:is>
      </x:c>
      <x:c r="D33" t="inlineStr">
        <x:is>
          <x:t xml:space="preserve">BOQ item p14:6.4.1 is allocated more than once</x:t>
        </x:is>
      </x:c>
      <x:c r="E33" t="inlineStr">
        <x:is>
          <x:t xml:space="preserve">Measured quantities cannot be duplicated without an explicit allocation</x:t>
        </x:is>
      </x:c>
      <x:c r="F33" t="inlineStr">
        <x:is>
          <x:t xml:space="preserve">Partition the quantity explicitly or retain one accountable activity mapping.</x:t>
        </x:is>
      </x:c>
      <x:c r="G33" t="inlineStr">
        <x:is>
          <x:t xml:space="preserve">Yes</x:t>
        </x:is>
      </x:c>
    </x:row>
    <x:row r="34">
      <x:c r="A34" t="inlineStr">
        <x:is>
          <x:t xml:space="preserve">COV-0032</x:t>
        </x:is>
      </x:c>
      <x:c r="B34" t="inlineStr">
        <x:is>
          <x:t xml:space="preserve">HIGH</x:t>
        </x:is>
      </x:c>
      <x:c r="C34" t="inlineStr">
        <x:is>
          <x:t xml:space="preserve">13,31</x:t>
        </x:is>
      </x:c>
      <x:c r="D34" t="inlineStr">
        <x:is>
          <x:t xml:space="preserve">BOQ item p14:6.4.2 is allocated more than once</x:t>
        </x:is>
      </x:c>
      <x:c r="E34" t="inlineStr">
        <x:is>
          <x:t xml:space="preserve">Measured quantities cannot be duplicated without an explicit allocation</x:t>
        </x:is>
      </x:c>
      <x:c r="F34" t="inlineStr">
        <x:is>
          <x:t xml:space="preserve">Partition the quantity explicitly or retain one accountable activity mapping.</x:t>
        </x:is>
      </x:c>
      <x:c r="G34" t="inlineStr">
        <x:is>
          <x:t xml:space="preserve">Yes</x:t>
        </x:is>
      </x:c>
    </x:row>
    <x:row r="35">
      <x:c r="A35" t="inlineStr">
        <x:is>
          <x:t xml:space="preserve">COV-0033</x:t>
        </x:is>
      </x:c>
      <x:c r="B35" t="inlineStr">
        <x:is>
          <x:t xml:space="preserve">HIGH</x:t>
        </x:is>
      </x:c>
      <x:c r="C35" t="inlineStr">
        <x:is>
          <x:t xml:space="preserve">13,31</x:t>
        </x:is>
      </x:c>
      <x:c r="D35" t="inlineStr">
        <x:is>
          <x:t xml:space="preserve">BOQ item p14:6.4.3 is allocated more than once</x:t>
        </x:is>
      </x:c>
      <x:c r="E35" t="inlineStr">
        <x:is>
          <x:t xml:space="preserve">Measured quantities cannot be duplicated without an explicit allocation</x:t>
        </x:is>
      </x:c>
      <x:c r="F35" t="inlineStr">
        <x:is>
          <x:t xml:space="preserve">Partition the quantity explicitly or retain one accountable activity mapping.</x:t>
        </x:is>
      </x:c>
      <x:c r="G35" t="inlineStr">
        <x:is>
          <x:t xml:space="preserve">Yes</x:t>
        </x:is>
      </x:c>
    </x:row>
    <x:row r="36">
      <x:c r="A36" t="inlineStr">
        <x:is>
          <x:t xml:space="preserve">COV-0034</x:t>
        </x:is>
      </x:c>
      <x:c r="B36" t="inlineStr">
        <x:is>
          <x:t xml:space="preserve">HIGH</x:t>
        </x:is>
      </x:c>
      <x:c r="C36" t="inlineStr">
        <x:is>
          <x:t xml:space="preserve">13,31</x:t>
        </x:is>
      </x:c>
      <x:c r="D36" t="inlineStr">
        <x:is>
          <x:t xml:space="preserve">BOQ item p14:6.5.1.1 is allocated more than once</x:t>
        </x:is>
      </x:c>
      <x:c r="E36" t="inlineStr">
        <x:is>
          <x:t xml:space="preserve">Measured quantities cannot be duplicated without an explicit allocation</x:t>
        </x:is>
      </x:c>
      <x:c r="F36" t="inlineStr">
        <x:is>
          <x:t xml:space="preserve">Partition the quantity explicitly or retain one accountable activity mapping.</x:t>
        </x:is>
      </x:c>
      <x:c r="G36" t="inlineStr">
        <x:is>
          <x:t xml:space="preserve">Yes</x:t>
        </x:is>
      </x:c>
    </x:row>
    <x:row r="37">
      <x:c r="A37" t="inlineStr">
        <x:is>
          <x:t xml:space="preserve">COV-0035</x:t>
        </x:is>
      </x:c>
      <x:c r="B37" t="inlineStr">
        <x:is>
          <x:t xml:space="preserve">HIGH</x:t>
        </x:is>
      </x:c>
      <x:c r="C37" t="inlineStr">
        <x:is>
          <x:t xml:space="preserve">13,31</x:t>
        </x:is>
      </x:c>
      <x:c r="D37" t="inlineStr">
        <x:is>
          <x:t xml:space="preserve">BOQ item p14:6.5.1.2 is allocated more than once</x:t>
        </x:is>
      </x:c>
      <x:c r="E37" t="inlineStr">
        <x:is>
          <x:t xml:space="preserve">Measured quantities cannot be duplicated without an explicit allocation</x:t>
        </x:is>
      </x:c>
      <x:c r="F37" t="inlineStr">
        <x:is>
          <x:t xml:space="preserve">Partition the quantity explicitly or retain one accountable activity mapping.</x:t>
        </x:is>
      </x:c>
      <x:c r="G37" t="inlineStr">
        <x:is>
          <x:t xml:space="preserve">Yes</x:t>
        </x:is>
      </x:c>
    </x:row>
    <x:row r="38">
      <x:c r="A38" t="inlineStr">
        <x:is>
          <x:t xml:space="preserve">COV-0036</x:t>
        </x:is>
      </x:c>
      <x:c r="B38" t="inlineStr">
        <x:is>
          <x:t xml:space="preserve">HIGH</x:t>
        </x:is>
      </x:c>
      <x:c r="C38" t="inlineStr">
        <x:is>
          <x:t xml:space="preserve">13,31</x:t>
        </x:is>
      </x:c>
      <x:c r="D38" t="inlineStr">
        <x:is>
          <x:t xml:space="preserve">BOQ item p14:6.6 is allocated more than once</x:t>
        </x:is>
      </x:c>
      <x:c r="E38" t="inlineStr">
        <x:is>
          <x:t xml:space="preserve">Measured quantities cannot be duplicated without an explicit allocation</x:t>
        </x:is>
      </x:c>
      <x:c r="F38" t="inlineStr">
        <x:is>
          <x:t xml:space="preserve">Partition the quantity explicitly or retain one accountable activity mapping.</x:t>
        </x:is>
      </x:c>
      <x:c r="G38" t="inlineStr">
        <x:is>
          <x:t xml:space="preserve">Yes</x:t>
        </x:is>
      </x:c>
    </x:row>
    <x:row r="39">
      <x:c r="A39" t="inlineStr">
        <x:is>
          <x:t xml:space="preserve">COV-0037</x:t>
        </x:is>
      </x:c>
      <x:c r="B39" t="inlineStr">
        <x:is>
          <x:t xml:space="preserve">HIGH</x:t>
        </x:is>
      </x:c>
      <x:c r="C39" t="inlineStr">
        <x:is>
          <x:t xml:space="preserve">13,31</x:t>
        </x:is>
      </x:c>
      <x:c r="D39" t="inlineStr">
        <x:is>
          <x:t xml:space="preserve">BOQ item p14:6.7.1 is allocated more than once</x:t>
        </x:is>
      </x:c>
      <x:c r="E39" t="inlineStr">
        <x:is>
          <x:t xml:space="preserve">Measured quantities cannot be duplicated without an explicit allocation</x:t>
        </x:is>
      </x:c>
      <x:c r="F39" t="inlineStr">
        <x:is>
          <x:t xml:space="preserve">Partition the quantity explicitly or retain one accountable activity mapping.</x:t>
        </x:is>
      </x:c>
      <x:c r="G39" t="inlineStr">
        <x:is>
          <x:t xml:space="preserve">Yes</x:t>
        </x:is>
      </x:c>
    </x:row>
    <x:row r="40">
      <x:c r="A40" t="inlineStr">
        <x:is>
          <x:t xml:space="preserve">COV-0038</x:t>
        </x:is>
      </x:c>
      <x:c r="B40" t="inlineStr">
        <x:is>
          <x:t xml:space="preserve">HIGH</x:t>
        </x:is>
      </x:c>
      <x:c r="C40" t="inlineStr">
        <x:is>
          <x:t xml:space="preserve">13,26</x:t>
        </x:is>
      </x:c>
      <x:c r="D40" t="inlineStr">
        <x:is>
          <x:t xml:space="preserve">BOQ item p15:2.1.8 is allocated more than once</x:t>
        </x:is>
      </x:c>
      <x:c r="E40" t="inlineStr">
        <x:is>
          <x:t xml:space="preserve">Measured quantities cannot be duplicated without an explicit allocation</x:t>
        </x:is>
      </x:c>
      <x:c r="F40" t="inlineStr">
        <x:is>
          <x:t xml:space="preserve">Partition the quantity explicitly or retain one accountable activity mapping.</x:t>
        </x:is>
      </x:c>
      <x:c r="G40" t="inlineStr">
        <x:is>
          <x:t xml:space="preserve">Yes</x:t>
        </x:is>
      </x:c>
    </x:row>
    <x:row r="41">
      <x:c r="A41" t="inlineStr">
        <x:is>
          <x:t xml:space="preserve">COV-0039</x:t>
        </x:is>
      </x:c>
      <x:c r="B41" t="inlineStr">
        <x:is>
          <x:t xml:space="preserve">HIGH</x:t>
        </x:is>
      </x:c>
      <x:c r="C41" t="inlineStr">
        <x:is>
          <x:t xml:space="preserve">13,26</x:t>
        </x:is>
      </x:c>
      <x:c r="D41" t="inlineStr">
        <x:is>
          <x:t xml:space="preserve">BOQ item p15:2.1.9 is allocated more than once</x:t>
        </x:is>
      </x:c>
      <x:c r="E41" t="inlineStr">
        <x:is>
          <x:t xml:space="preserve">Measured quantities cannot be duplicated without an explicit allocation</x:t>
        </x:is>
      </x:c>
      <x:c r="F41" t="inlineStr">
        <x:is>
          <x:t xml:space="preserve">Partition the quantity explicitly or retain one accountable activity mapping.</x:t>
        </x:is>
      </x:c>
      <x:c r="G41" t="inlineStr">
        <x:is>
          <x:t xml:space="preserve">Yes</x:t>
        </x:is>
      </x:c>
    </x:row>
    <x:row r="42">
      <x:c r="A42" t="inlineStr">
        <x:is>
          <x:t xml:space="preserve">COV-0040</x:t>
        </x:is>
      </x:c>
      <x:c r="B42" t="inlineStr">
        <x:is>
          <x:t xml:space="preserve">CRITICAL</x:t>
        </x:is>
      </x:c>
      <x:c r="C42" t="inlineStr">
        <x:is>
          <x:t xml:space="preserve"/>
        </x:is>
      </x:c>
      <x:c r="D42" t="inlineStr">
        <x:is>
          <x:t xml:space="preserve">BOQ item p15:4.1.1 is not allocated to an activity</x:t>
        </x:is>
      </x:c>
      <x:c r="E42" t="inlineStr">
        <x:is>
          <x:t xml:space="preserve">Every measurable BOQ item requires an accountable disposition</x:t>
        </x:is>
      </x:c>
      <x:c r="F42" t="inlineStr">
        <x:is>
          <x:t xml:space="preserve">Map the BOQ item to an executable activity or record a reviewed exclusion.</x:t>
        </x:is>
      </x:c>
      <x:c r="G42" t="inlineStr">
        <x:is>
          <x:t xml:space="preserve">Yes</x:t>
        </x:is>
      </x:c>
    </x:row>
    <x:row r="43">
      <x:c r="A43" t="inlineStr">
        <x:is>
          <x:t xml:space="preserve">COV-0041</x:t>
        </x:is>
      </x:c>
      <x:c r="B43" t="inlineStr">
        <x:is>
          <x:t xml:space="preserve">CRITICAL</x:t>
        </x:is>
      </x:c>
      <x:c r="C43" t="inlineStr">
        <x:is>
          <x:t xml:space="preserve"/>
        </x:is>
      </x:c>
      <x:c r="D43" t="inlineStr">
        <x:is>
          <x:t xml:space="preserve">BOQ item p15:4.1.2 is not allocated to an activity</x:t>
        </x:is>
      </x:c>
      <x:c r="E43" t="inlineStr">
        <x:is>
          <x:t xml:space="preserve">Every measurable BOQ item requires an accountable disposition</x:t>
        </x:is>
      </x:c>
      <x:c r="F43" t="inlineStr">
        <x:is>
          <x:t xml:space="preserve">Map the BOQ item to an executable activity or record a reviewed exclusion.</x:t>
        </x:is>
      </x:c>
      <x:c r="G43" t="inlineStr">
        <x:is>
          <x:t xml:space="preserve">Yes</x:t>
        </x:is>
      </x:c>
    </x:row>
    <x:row r="44">
      <x:c r="A44" t="inlineStr">
        <x:is>
          <x:t xml:space="preserve">COV-0042</x:t>
        </x:is>
      </x:c>
      <x:c r="B44" t="inlineStr">
        <x:is>
          <x:t xml:space="preserve">CRITICAL</x:t>
        </x:is>
      </x:c>
      <x:c r="C44" t="inlineStr">
        <x:is>
          <x:t xml:space="preserve"/>
        </x:is>
      </x:c>
      <x:c r="D44" t="inlineStr">
        <x:is>
          <x:t xml:space="preserve">BOQ item p15:4.1.3 is not allocated to an activity</x:t>
        </x:is>
      </x:c>
      <x:c r="E44" t="inlineStr">
        <x:is>
          <x:t xml:space="preserve">Every measurable BOQ item requires an accountable disposition</x:t>
        </x:is>
      </x:c>
      <x:c r="F44" t="inlineStr">
        <x:is>
          <x:t xml:space="preserve">Map the BOQ item to an executable activity or record a reviewed exclusion.</x:t>
        </x:is>
      </x:c>
      <x:c r="G44" t="inlineStr">
        <x:is>
          <x:t xml:space="preserve">Yes</x:t>
        </x:is>
      </x:c>
    </x:row>
    <x:row r="45">
      <x:c r="A45" t="inlineStr">
        <x:is>
          <x:t xml:space="preserve">COV-0043</x:t>
        </x:is>
      </x:c>
      <x:c r="B45" t="inlineStr">
        <x:is>
          <x:t xml:space="preserve">CRITICAL</x:t>
        </x:is>
      </x:c>
      <x:c r="C45" t="inlineStr">
        <x:is>
          <x:t xml:space="preserve"/>
        </x:is>
      </x:c>
      <x:c r="D45" t="inlineStr">
        <x:is>
          <x:t xml:space="preserve">BOQ item p15:4.1.4 is not allocated to an activity</x:t>
        </x:is>
      </x:c>
      <x:c r="E45" t="inlineStr">
        <x:is>
          <x:t xml:space="preserve">Every measurable BOQ item requires an accountable disposition</x:t>
        </x:is>
      </x:c>
      <x:c r="F45" t="inlineStr">
        <x:is>
          <x:t xml:space="preserve">Map the BOQ item to an executable activity or record a reviewed exclusion.</x:t>
        </x:is>
      </x:c>
      <x:c r="G45" t="inlineStr">
        <x:is>
          <x:t xml:space="preserve">Yes</x:t>
        </x:is>
      </x:c>
    </x:row>
    <x:row r="46">
      <x:c r="A46" t="inlineStr">
        <x:is>
          <x:t xml:space="preserve">COV-0044</x:t>
        </x:is>
      </x:c>
      <x:c r="B46" t="inlineStr">
        <x:is>
          <x:t xml:space="preserve">HIGH</x:t>
        </x:is>
      </x:c>
      <x:c r="C46" t="inlineStr">
        <x:is>
          <x:t xml:space="preserve">22,27</x:t>
        </x:is>
      </x:c>
      <x:c r="D46" t="inlineStr">
        <x:is>
          <x:t xml:space="preserve">BOQ item p16:4.2.2.1 is allocated more than once</x:t>
        </x:is>
      </x:c>
      <x:c r="E46" t="inlineStr">
        <x:is>
          <x:t xml:space="preserve">Measured quantities cannot be duplicated without an explicit allocation</x:t>
        </x:is>
      </x:c>
      <x:c r="F46" t="inlineStr">
        <x:is>
          <x:t xml:space="preserve">Partition the quantity explicitly or retain one accountable activity mapping.</x:t>
        </x:is>
      </x:c>
      <x:c r="G46" t="inlineStr">
        <x:is>
          <x:t xml:space="preserve">Yes</x:t>
        </x:is>
      </x:c>
    </x:row>
    <x:row r="47">
      <x:c r="A47" t="inlineStr">
        <x:is>
          <x:t xml:space="preserve">COV-0045</x:t>
        </x:is>
      </x:c>
      <x:c r="B47" t="inlineStr">
        <x:is>
          <x:t xml:space="preserve">CRITICAL</x:t>
        </x:is>
      </x:c>
      <x:c r="C47" t="inlineStr">
        <x:is>
          <x:t xml:space="preserve"/>
        </x:is>
      </x:c>
      <x:c r="D47" t="inlineStr">
        <x:is>
          <x:t xml:space="preserve">BOQ item p17:6.1.6 is not allocated to an activity</x:t>
        </x:is>
      </x:c>
      <x:c r="E47" t="inlineStr">
        <x:is>
          <x:t xml:space="preserve">Every measurable BOQ item requires an accountable disposition</x:t>
        </x:is>
      </x:c>
      <x:c r="F47" t="inlineStr">
        <x:is>
          <x:t xml:space="preserve">Map the BOQ item to an executable activity or record a reviewed exclusion.</x:t>
        </x:is>
      </x:c>
      <x:c r="G47" t="inlineStr">
        <x:is>
          <x:t xml:space="preserve">Yes</x:t>
        </x:is>
      </x:c>
    </x:row>
    <x:row r="48">
      <x:c r="A48" t="inlineStr">
        <x:is>
          <x:t xml:space="preserve">COV-0046</x:t>
        </x:is>
      </x:c>
      <x:c r="B48" t="inlineStr">
        <x:is>
          <x:t xml:space="preserve">CRITICAL</x:t>
        </x:is>
      </x:c>
      <x:c r="C48" t="inlineStr">
        <x:is>
          <x:t xml:space="preserve"/>
        </x:is>
      </x:c>
      <x:c r="D48" t="inlineStr">
        <x:is>
          <x:t xml:space="preserve">BOQ item p25:18.1.1 is not allocated to an activity</x:t>
        </x:is>
      </x:c>
      <x:c r="E48" t="inlineStr">
        <x:is>
          <x:t xml:space="preserve">Every measurable BOQ item requires an accountable disposition</x:t>
        </x:is>
      </x:c>
      <x:c r="F48" t="inlineStr">
        <x:is>
          <x:t xml:space="preserve">Map the BOQ item to an executable activity or record a reviewed exclusion.</x:t>
        </x:is>
      </x:c>
      <x:c r="G48" t="inlineStr">
        <x:is>
          <x:t xml:space="preserve">Yes</x:t>
        </x:is>
      </x:c>
    </x:row>
    <x:row r="49">
      <x:c r="A49" t="inlineStr">
        <x:is>
          <x:t xml:space="preserve">COV-0047</x:t>
        </x:is>
      </x:c>
      <x:c r="B49" t="inlineStr">
        <x:is>
          <x:t xml:space="preserve">CRITICAL</x:t>
        </x:is>
      </x:c>
      <x:c r="C49" t="inlineStr">
        <x:is>
          <x:t xml:space="preserve"/>
        </x:is>
      </x:c>
      <x:c r="D49" t="inlineStr">
        <x:is>
          <x:t xml:space="preserve">BOQ item p25:18.1.2 is not allocated to an activity</x:t>
        </x:is>
      </x:c>
      <x:c r="E49" t="inlineStr">
        <x:is>
          <x:t xml:space="preserve">Every measurable BOQ item requires an accountable disposition</x:t>
        </x:is>
      </x:c>
      <x:c r="F49" t="inlineStr">
        <x:is>
          <x:t xml:space="preserve">Map the BOQ item to an executable activity or record a reviewed exclusion.</x:t>
        </x:is>
      </x:c>
      <x:c r="G49" t="inlineStr">
        <x:is>
          <x:t xml:space="preserve">Yes</x:t>
        </x:is>
      </x:c>
    </x:row>
    <x:row r="50">
      <x:c r="A50" t="inlineStr">
        <x:is>
          <x:t xml:space="preserve">COV-0048</x:t>
        </x:is>
      </x:c>
      <x:c r="B50" t="inlineStr">
        <x:is>
          <x:t xml:space="preserve">CRITICAL</x:t>
        </x:is>
      </x:c>
      <x:c r="C50" t="inlineStr">
        <x:is>
          <x:t xml:space="preserve"/>
        </x:is>
      </x:c>
      <x:c r="D50" t="inlineStr">
        <x:is>
          <x:t xml:space="preserve">BOQ item p25:18.1.3 is not allocated to an activity</x:t>
        </x:is>
      </x:c>
      <x:c r="E50" t="inlineStr">
        <x:is>
          <x:t xml:space="preserve">Every measurable BOQ item requires an accountable disposition</x:t>
        </x:is>
      </x:c>
      <x:c r="F50" t="inlineStr">
        <x:is>
          <x:t xml:space="preserve">Map the BOQ item to an executable activity or record a reviewed exclusion.</x:t>
        </x:is>
      </x:c>
      <x:c r="G50" t="inlineStr">
        <x:is>
          <x:t xml:space="preserve">Yes</x:t>
        </x:is>
      </x:c>
    </x:row>
    <x:row r="51">
      <x:c r="A51" t="inlineStr">
        <x:is>
          <x:t xml:space="preserve">COV-0049</x:t>
        </x:is>
      </x:c>
      <x:c r="B51" t="inlineStr">
        <x:is>
          <x:t xml:space="preserve">CRITICAL</x:t>
        </x:is>
      </x:c>
      <x:c r="C51" t="inlineStr">
        <x:is>
          <x:t xml:space="preserve"/>
        </x:is>
      </x:c>
      <x:c r="D51" t="inlineStr">
        <x:is>
          <x:t xml:space="preserve">BOQ item p25:18.1.4 is not allocated to an activity</x:t>
        </x:is>
      </x:c>
      <x:c r="E51" t="inlineStr">
        <x:is>
          <x:t xml:space="preserve">Every measurable BOQ item requires an accountable disposition</x:t>
        </x:is>
      </x:c>
      <x:c r="F51" t="inlineStr">
        <x:is>
          <x:t xml:space="preserve">Map the BOQ item to an executable activity or record a reviewed exclusion.</x:t>
        </x:is>
      </x:c>
      <x:c r="G51" t="inlineStr">
        <x:is>
          <x:t xml:space="preserve">Yes</x:t>
        </x:is>
      </x:c>
    </x:row>
    <x:row r="52">
      <x:c r="A52" t="inlineStr">
        <x:is>
          <x:t xml:space="preserve">LOG-0050</x:t>
        </x:is>
      </x:c>
      <x:c r="B52" t="inlineStr">
        <x:is>
          <x:t xml:space="preserve">CRITICAL</x:t>
        </x:is>
      </x:c>
      <x:c r="C52" t="inlineStr">
        <x:is>
          <x:t xml:space="preserve">1,4</x:t>
        </x:is>
      </x:c>
      <x:c r="D52" t="inlineStr">
        <x:is>
          <x:t xml:space="preserve">FS relationship is violated by activity dates</x:t>
        </x:is>
      </x:c>
      <x:c r="E52" t="inlineStr">
        <x:is>
          <x:t xml:space="preserve">Dates must satisfy relationship type and lag</x:t>
        </x:is>
      </x:c>
      <x:c r="F52" t="inlineStr">
        <x:is>
          <x:t xml:space="preserve">Recalculate both activities against the reviewed calendar and logic.</x:t>
        </x:is>
      </x:c>
      <x:c r="G52" t="inlineStr">
        <x:is>
          <x:t xml:space="preserve">Yes</x:t>
        </x:is>
      </x:c>
    </x:row>
    <x:row r="53">
      <x:c r="A53" t="inlineStr">
        <x:is>
          <x:t xml:space="preserve">LOG-0051</x:t>
        </x:is>
      </x:c>
      <x:c r="B53" t="inlineStr">
        <x:is>
          <x:t xml:space="preserve">CRITICAL</x:t>
        </x:is>
      </x:c>
      <x:c r="C53" t="inlineStr">
        <x:is>
          <x:t xml:space="preserve">7,8</x:t>
        </x:is>
      </x:c>
      <x:c r="D53" t="inlineStr">
        <x:is>
          <x:t xml:space="preserve">FF relationship is violated by activity dates</x:t>
        </x:is>
      </x:c>
      <x:c r="E53" t="inlineStr">
        <x:is>
          <x:t xml:space="preserve">Dates must satisfy relationship type and lag</x:t>
        </x:is>
      </x:c>
      <x:c r="F53" t="inlineStr">
        <x:is>
          <x:t xml:space="preserve">Recalculate both activities against the reviewed calendar and logic.</x:t>
        </x:is>
      </x:c>
      <x:c r="G53" t="inlineStr">
        <x:is>
          <x:t xml:space="preserve">Yes</x:t>
        </x:is>
      </x:c>
    </x:row>
    <x:row r="54">
      <x:c r="A54" t="inlineStr">
        <x:is>
          <x:t xml:space="preserve">LOG-0052</x:t>
        </x:is>
      </x:c>
      <x:c r="B54" t="inlineStr">
        <x:is>
          <x:t xml:space="preserve">CRITICAL</x:t>
        </x:is>
      </x:c>
      <x:c r="C54" t="inlineStr">
        <x:is>
          <x:t xml:space="preserve">7,11</x:t>
        </x:is>
      </x:c>
      <x:c r="D54" t="inlineStr">
        <x:is>
          <x:t xml:space="preserve">FS relationship is violated by activity dates</x:t>
        </x:is>
      </x:c>
      <x:c r="E54" t="inlineStr">
        <x:is>
          <x:t xml:space="preserve">Dates must satisfy relationship type and lag</x:t>
        </x:is>
      </x:c>
      <x:c r="F54" t="inlineStr">
        <x:is>
          <x:t xml:space="preserve">Recalculate both activities against the reviewed calendar and logic.</x:t>
        </x:is>
      </x:c>
      <x:c r="G54" t="inlineStr">
        <x:is>
          <x:t xml:space="preserve">Yes</x:t>
        </x:is>
      </x:c>
    </x:row>
    <x:row r="55">
      <x:c r="A55" t="inlineStr">
        <x:is>
          <x:t xml:space="preserve">ASM-0053</x:t>
        </x:is>
      </x:c>
      <x:c r="B55" t="inlineStr">
        <x:is>
          <x:t xml:space="preserve">WARNING</x:t>
        </x:is>
      </x:c>
      <x:c r="C55" t="inlineStr">
        <x:is>
          <x:t xml:space="preserve">1</x:t>
        </x:is>
      </x:c>
      <x:c r="D55" t="inlineStr">
        <x:is>
          <x:t xml:space="preserve">Duration uses an unverified planning assumption</x:t>
        </x:is>
      </x:c>
      <x:c r="E55" t="inlineStr">
        <x:is>
          <x:t xml:space="preserve">Durations require documented productivity or project input</x:t>
        </x:is>
      </x:c>
      <x:c r="F55" t="inlineStr">
        <x:is>
          <x:t xml:space="preserve">Confirm the duration, crew/productivity basis and calendar during planner review.</x:t>
        </x:is>
      </x:c>
      <x:c r="G55" t="inlineStr">
        <x:is>
          <x:t xml:space="preserve">Yes</x:t>
        </x:is>
      </x:c>
    </x:row>
    <x:row r="56">
      <x:c r="A56" t="inlineStr">
        <x:is>
          <x:t xml:space="preserve">ASM-0054</x:t>
        </x:is>
      </x:c>
      <x:c r="B56" t="inlineStr">
        <x:is>
          <x:t xml:space="preserve">WARNING</x:t>
        </x:is>
      </x:c>
      <x:c r="C56" t="inlineStr">
        <x:is>
          <x:t xml:space="preserve">2</x:t>
        </x:is>
      </x:c>
      <x:c r="D56" t="inlineStr">
        <x:is>
          <x:t xml:space="preserve">Duration uses an unverified planning assumption</x:t>
        </x:is>
      </x:c>
      <x:c r="E56" t="inlineStr">
        <x:is>
          <x:t xml:space="preserve">Durations require documented productivity or project input</x:t>
        </x:is>
      </x:c>
      <x:c r="F56" t="inlineStr">
        <x:is>
          <x:t xml:space="preserve">Confirm the duration, crew/productivity basis and calendar during planner review.</x:t>
        </x:is>
      </x:c>
      <x:c r="G56" t="inlineStr">
        <x:is>
          <x:t xml:space="preserve">Yes</x:t>
        </x:is>
      </x:c>
    </x:row>
    <x:row r="57">
      <x:c r="A57" t="inlineStr">
        <x:is>
          <x:t xml:space="preserve">ASM-0055</x:t>
        </x:is>
      </x:c>
      <x:c r="B57" t="inlineStr">
        <x:is>
          <x:t xml:space="preserve">WARNING</x:t>
        </x:is>
      </x:c>
      <x:c r="C57" t="inlineStr">
        <x:is>
          <x:t xml:space="preserve">3</x:t>
        </x:is>
      </x:c>
      <x:c r="D57" t="inlineStr">
        <x:is>
          <x:t xml:space="preserve">Duration uses an unverified planning assumption</x:t>
        </x:is>
      </x:c>
      <x:c r="E57" t="inlineStr">
        <x:is>
          <x:t xml:space="preserve">Durations require documented productivity or project input</x:t>
        </x:is>
      </x:c>
      <x:c r="F57" t="inlineStr">
        <x:is>
          <x:t xml:space="preserve">Confirm the duration, crew/productivity basis and calendar during planner review.</x:t>
        </x:is>
      </x:c>
      <x:c r="G57" t="inlineStr">
        <x:is>
          <x:t xml:space="preserve">Yes</x:t>
        </x:is>
      </x:c>
    </x:row>
    <x:row r="58">
      <x:c r="A58" t="inlineStr">
        <x:is>
          <x:t xml:space="preserve">ASM-0056</x:t>
        </x:is>
      </x:c>
      <x:c r="B58" t="inlineStr">
        <x:is>
          <x:t xml:space="preserve">WARNING</x:t>
        </x:is>
      </x:c>
      <x:c r="C58" t="inlineStr">
        <x:is>
          <x:t xml:space="preserve">4</x:t>
        </x:is>
      </x:c>
      <x:c r="D58" t="inlineStr">
        <x:is>
          <x:t xml:space="preserve">Duration uses an unverified planning assumption</x:t>
        </x:is>
      </x:c>
      <x:c r="E58" t="inlineStr">
        <x:is>
          <x:t xml:space="preserve">Durations require documented productivity or project input</x:t>
        </x:is>
      </x:c>
      <x:c r="F58" t="inlineStr">
        <x:is>
          <x:t xml:space="preserve">Confirm the duration, crew/productivity basis and calendar during planner review.</x:t>
        </x:is>
      </x:c>
      <x:c r="G58" t="inlineStr">
        <x:is>
          <x:t xml:space="preserve">Yes</x:t>
        </x:is>
      </x:c>
    </x:row>
    <x:row r="59">
      <x:c r="A59" t="inlineStr">
        <x:is>
          <x:t xml:space="preserve">ASM-0057</x:t>
        </x:is>
      </x:c>
      <x:c r="B59" t="inlineStr">
        <x:is>
          <x:t xml:space="preserve">WARNING</x:t>
        </x:is>
      </x:c>
      <x:c r="C59" t="inlineStr">
        <x:is>
          <x:t xml:space="preserve">5</x:t>
        </x:is>
      </x:c>
      <x:c r="D59" t="inlineStr">
        <x:is>
          <x:t xml:space="preserve">Duration uses an unverified planning assumption</x:t>
        </x:is>
      </x:c>
      <x:c r="E59" t="inlineStr">
        <x:is>
          <x:t xml:space="preserve">Durations require documented productivity or project input</x:t>
        </x:is>
      </x:c>
      <x:c r="F59" t="inlineStr">
        <x:is>
          <x:t xml:space="preserve">Confirm the duration, crew/productivity basis and calendar during planner review.</x:t>
        </x:is>
      </x:c>
      <x:c r="G59" t="inlineStr">
        <x:is>
          <x:t xml:space="preserve">Yes</x:t>
        </x:is>
      </x:c>
    </x:row>
    <x:row r="60">
      <x:c r="A60" t="inlineStr">
        <x:is>
          <x:t xml:space="preserve">ASM-0058</x:t>
        </x:is>
      </x:c>
      <x:c r="B60" t="inlineStr">
        <x:is>
          <x:t xml:space="preserve">WARNING</x:t>
        </x:is>
      </x:c>
      <x:c r="C60" t="inlineStr">
        <x:is>
          <x:t xml:space="preserve">6</x:t>
        </x:is>
      </x:c>
      <x:c r="D60" t="inlineStr">
        <x:is>
          <x:t xml:space="preserve">Duration uses an unverified planning assumption</x:t>
        </x:is>
      </x:c>
      <x:c r="E60" t="inlineStr">
        <x:is>
          <x:t xml:space="preserve">Durations require documented productivity or project input</x:t>
        </x:is>
      </x:c>
      <x:c r="F60" t="inlineStr">
        <x:is>
          <x:t xml:space="preserve">Confirm the duration, crew/productivity basis and calendar during planner review.</x:t>
        </x:is>
      </x:c>
      <x:c r="G60" t="inlineStr">
        <x:is>
          <x:t xml:space="preserve">Yes</x:t>
        </x:is>
      </x:c>
    </x:row>
    <x:row r="61">
      <x:c r="A61" t="inlineStr">
        <x:is>
          <x:t xml:space="preserve">ASM-0059</x:t>
        </x:is>
      </x:c>
      <x:c r="B61" t="inlineStr">
        <x:is>
          <x:t xml:space="preserve">WARNING</x:t>
        </x:is>
      </x:c>
      <x:c r="C61" t="inlineStr">
        <x:is>
          <x:t xml:space="preserve">7</x:t>
        </x:is>
      </x:c>
      <x:c r="D61" t="inlineStr">
        <x:is>
          <x:t xml:space="preserve">Duration uses an unverified planning assumption</x:t>
        </x:is>
      </x:c>
      <x:c r="E61" t="inlineStr">
        <x:is>
          <x:t xml:space="preserve">Durations require documented productivity or project input</x:t>
        </x:is>
      </x:c>
      <x:c r="F61" t="inlineStr">
        <x:is>
          <x:t xml:space="preserve">Confirm the duration, crew/productivity basis and calendar during planner review.</x:t>
        </x:is>
      </x:c>
      <x:c r="G61" t="inlineStr">
        <x:is>
          <x:t xml:space="preserve">Yes</x:t>
        </x:is>
      </x:c>
    </x:row>
    <x:row r="62">
      <x:c r="A62" t="inlineStr">
        <x:is>
          <x:t xml:space="preserve">ASM-0060</x:t>
        </x:is>
      </x:c>
      <x:c r="B62" t="inlineStr">
        <x:is>
          <x:t xml:space="preserve">WARNING</x:t>
        </x:is>
      </x:c>
      <x:c r="C62" t="inlineStr">
        <x:is>
          <x:t xml:space="preserve">8</x:t>
        </x:is>
      </x:c>
      <x:c r="D62" t="inlineStr">
        <x:is>
          <x:t xml:space="preserve">Duration uses an unverified planning assumption</x:t>
        </x:is>
      </x:c>
      <x:c r="E62" t="inlineStr">
        <x:is>
          <x:t xml:space="preserve">Durations require documented productivity or project input</x:t>
        </x:is>
      </x:c>
      <x:c r="F62" t="inlineStr">
        <x:is>
          <x:t xml:space="preserve">Confirm the duration, crew/productivity basis and calendar during planner review.</x:t>
        </x:is>
      </x:c>
      <x:c r="G62" t="inlineStr">
        <x:is>
          <x:t xml:space="preserve">Yes</x:t>
        </x:is>
      </x:c>
    </x:row>
    <x:row r="63">
      <x:c r="A63" t="inlineStr">
        <x:is>
          <x:t xml:space="preserve">ASM-0061</x:t>
        </x:is>
      </x:c>
      <x:c r="B63" t="inlineStr">
        <x:is>
          <x:t xml:space="preserve">WARNING</x:t>
        </x:is>
      </x:c>
      <x:c r="C63" t="inlineStr">
        <x:is>
          <x:t xml:space="preserve">9</x:t>
        </x:is>
      </x:c>
      <x:c r="D63" t="inlineStr">
        <x:is>
          <x:t xml:space="preserve">Duration uses an unverified planning assumption</x:t>
        </x:is>
      </x:c>
      <x:c r="E63" t="inlineStr">
        <x:is>
          <x:t xml:space="preserve">Durations require documented productivity or project input</x:t>
        </x:is>
      </x:c>
      <x:c r="F63" t="inlineStr">
        <x:is>
          <x:t xml:space="preserve">Confirm the duration, crew/productivity basis and calendar during planner review.</x:t>
        </x:is>
      </x:c>
      <x:c r="G63" t="inlineStr">
        <x:is>
          <x:t xml:space="preserve">Yes</x:t>
        </x:is>
      </x:c>
    </x:row>
    <x:row r="64">
      <x:c r="A64" t="inlineStr">
        <x:is>
          <x:t xml:space="preserve">ASM-0062</x:t>
        </x:is>
      </x:c>
      <x:c r="B64" t="inlineStr">
        <x:is>
          <x:t xml:space="preserve">WARNING</x:t>
        </x:is>
      </x:c>
      <x:c r="C64" t="inlineStr">
        <x:is>
          <x:t xml:space="preserve">10</x:t>
        </x:is>
      </x:c>
      <x:c r="D64" t="inlineStr">
        <x:is>
          <x:t xml:space="preserve">Duration uses an unverified planning assumption</x:t>
        </x:is>
      </x:c>
      <x:c r="E64" t="inlineStr">
        <x:is>
          <x:t xml:space="preserve">Durations require documented productivity or project input</x:t>
        </x:is>
      </x:c>
      <x:c r="F64" t="inlineStr">
        <x:is>
          <x:t xml:space="preserve">Confirm the duration, crew/productivity basis and calendar during planner review.</x:t>
        </x:is>
      </x:c>
      <x:c r="G64" t="inlineStr">
        <x:is>
          <x:t xml:space="preserve">Yes</x:t>
        </x:is>
      </x:c>
    </x:row>
    <x:row r="65">
      <x:c r="A65" t="inlineStr">
        <x:is>
          <x:t xml:space="preserve">ASM-0063</x:t>
        </x:is>
      </x:c>
      <x:c r="B65" t="inlineStr">
        <x:is>
          <x:t xml:space="preserve">WARNING</x:t>
        </x:is>
      </x:c>
      <x:c r="C65" t="inlineStr">
        <x:is>
          <x:t xml:space="preserve">11</x:t>
        </x:is>
      </x:c>
      <x:c r="D65" t="inlineStr">
        <x:is>
          <x:t xml:space="preserve">Duration uses an unverified planning assumption</x:t>
        </x:is>
      </x:c>
      <x:c r="E65" t="inlineStr">
        <x:is>
          <x:t xml:space="preserve">Durations require documented productivity or project input</x:t>
        </x:is>
      </x:c>
      <x:c r="F65" t="inlineStr">
        <x:is>
          <x:t xml:space="preserve">Confirm the duration, crew/productivity basis and calendar during planner review.</x:t>
        </x:is>
      </x:c>
      <x:c r="G65" t="inlineStr">
        <x:is>
          <x:t xml:space="preserve">Yes</x:t>
        </x:is>
      </x:c>
    </x:row>
    <x:row r="66">
      <x:c r="A66" t="inlineStr">
        <x:is>
          <x:t xml:space="preserve">ASM-0064</x:t>
        </x:is>
      </x:c>
      <x:c r="B66" t="inlineStr">
        <x:is>
          <x:t xml:space="preserve">WARNING</x:t>
        </x:is>
      </x:c>
      <x:c r="C66" t="inlineStr">
        <x:is>
          <x:t xml:space="preserve">12</x:t>
        </x:is>
      </x:c>
      <x:c r="D66" t="inlineStr">
        <x:is>
          <x:t xml:space="preserve">Duration uses an unverified planning assumption</x:t>
        </x:is>
      </x:c>
      <x:c r="E66" t="inlineStr">
        <x:is>
          <x:t xml:space="preserve">Durations require documented productivity or project input</x:t>
        </x:is>
      </x:c>
      <x:c r="F66" t="inlineStr">
        <x:is>
          <x:t xml:space="preserve">Confirm the duration, crew/productivity basis and calendar during planner review.</x:t>
        </x:is>
      </x:c>
      <x:c r="G66" t="inlineStr">
        <x:is>
          <x:t xml:space="preserve">Yes</x:t>
        </x:is>
      </x:c>
    </x:row>
    <x:row r="67">
      <x:c r="A67" t="inlineStr">
        <x:is>
          <x:t xml:space="preserve">ASM-0065</x:t>
        </x:is>
      </x:c>
      <x:c r="B67" t="inlineStr">
        <x:is>
          <x:t xml:space="preserve">WARNING</x:t>
        </x:is>
      </x:c>
      <x:c r="C67" t="inlineStr">
        <x:is>
          <x:t xml:space="preserve">13</x:t>
        </x:is>
      </x:c>
      <x:c r="D67" t="inlineStr">
        <x:is>
          <x:t xml:space="preserve">Duration uses an unverified planning assumption</x:t>
        </x:is>
      </x:c>
      <x:c r="E67" t="inlineStr">
        <x:is>
          <x:t xml:space="preserve">Durations require documented productivity or project input</x:t>
        </x:is>
      </x:c>
      <x:c r="F67" t="inlineStr">
        <x:is>
          <x:t xml:space="preserve">Confirm the duration, crew/productivity basis and calendar during planner review.</x:t>
        </x:is>
      </x:c>
      <x:c r="G67" t="inlineStr">
        <x:is>
          <x:t xml:space="preserve">Yes</x:t>
        </x:is>
      </x:c>
    </x:row>
    <x:row r="68">
      <x:c r="A68" t="inlineStr">
        <x:is>
          <x:t xml:space="preserve">ASM-0066</x:t>
        </x:is>
      </x:c>
      <x:c r="B68" t="inlineStr">
        <x:is>
          <x:t xml:space="preserve">WARNING</x:t>
        </x:is>
      </x:c>
      <x:c r="C68" t="inlineStr">
        <x:is>
          <x:t xml:space="preserve">14</x:t>
        </x:is>
      </x:c>
      <x:c r="D68" t="inlineStr">
        <x:is>
          <x:t xml:space="preserve">Duration uses an unverified planning assumption</x:t>
        </x:is>
      </x:c>
      <x:c r="E68" t="inlineStr">
        <x:is>
          <x:t xml:space="preserve">Durations require documented productivity or project input</x:t>
        </x:is>
      </x:c>
      <x:c r="F68" t="inlineStr">
        <x:is>
          <x:t xml:space="preserve">Confirm the duration, crew/productivity basis and calendar during planner review.</x:t>
        </x:is>
      </x:c>
      <x:c r="G68" t="inlineStr">
        <x:is>
          <x:t xml:space="preserve">Yes</x:t>
        </x:is>
      </x:c>
    </x:row>
    <x:row r="69">
      <x:c r="A69" t="inlineStr">
        <x:is>
          <x:t xml:space="preserve">ASM-0067</x:t>
        </x:is>
      </x:c>
      <x:c r="B69" t="inlineStr">
        <x:is>
          <x:t xml:space="preserve">WARNING</x:t>
        </x:is>
      </x:c>
      <x:c r="C69" t="inlineStr">
        <x:is>
          <x:t xml:space="preserve">15</x:t>
        </x:is>
      </x:c>
      <x:c r="D69" t="inlineStr">
        <x:is>
          <x:t xml:space="preserve">Duration uses an unverified planning assumption</x:t>
        </x:is>
      </x:c>
      <x:c r="E69" t="inlineStr">
        <x:is>
          <x:t xml:space="preserve">Durations require documented productivity or project input</x:t>
        </x:is>
      </x:c>
      <x:c r="F69" t="inlineStr">
        <x:is>
          <x:t xml:space="preserve">Confirm the duration, crew/productivity basis and calendar during planner review.</x:t>
        </x:is>
      </x:c>
      <x:c r="G69" t="inlineStr">
        <x:is>
          <x:t xml:space="preserve">Yes</x:t>
        </x:is>
      </x:c>
    </x:row>
    <x:row r="70">
      <x:c r="A70" t="inlineStr">
        <x:is>
          <x:t xml:space="preserve">ASM-0068</x:t>
        </x:is>
      </x:c>
      <x:c r="B70" t="inlineStr">
        <x:is>
          <x:t xml:space="preserve">WARNING</x:t>
        </x:is>
      </x:c>
      <x:c r="C70" t="inlineStr">
        <x:is>
          <x:t xml:space="preserve">16</x:t>
        </x:is>
      </x:c>
      <x:c r="D70" t="inlineStr">
        <x:is>
          <x:t xml:space="preserve">Duration uses an unverified planning assumption</x:t>
        </x:is>
      </x:c>
      <x:c r="E70" t="inlineStr">
        <x:is>
          <x:t xml:space="preserve">Durations require documented productivity or project input</x:t>
        </x:is>
      </x:c>
      <x:c r="F70" t="inlineStr">
        <x:is>
          <x:t xml:space="preserve">Confirm the duration, crew/productivity basis and calendar during planner review.</x:t>
        </x:is>
      </x:c>
      <x:c r="G70" t="inlineStr">
        <x:is>
          <x:t xml:space="preserve">Yes</x:t>
        </x:is>
      </x:c>
    </x:row>
    <x:row r="71">
      <x:c r="A71" t="inlineStr">
        <x:is>
          <x:t xml:space="preserve">ASM-0069</x:t>
        </x:is>
      </x:c>
      <x:c r="B71" t="inlineStr">
        <x:is>
          <x:t xml:space="preserve">WARNING</x:t>
        </x:is>
      </x:c>
      <x:c r="C71" t="inlineStr">
        <x:is>
          <x:t xml:space="preserve">17</x:t>
        </x:is>
      </x:c>
      <x:c r="D71" t="inlineStr">
        <x:is>
          <x:t xml:space="preserve">Duration uses an unverified planning assumption</x:t>
        </x:is>
      </x:c>
      <x:c r="E71" t="inlineStr">
        <x:is>
          <x:t xml:space="preserve">Durations require documented productivity or project input</x:t>
        </x:is>
      </x:c>
      <x:c r="F71" t="inlineStr">
        <x:is>
          <x:t xml:space="preserve">Confirm the duration, crew/productivity basis and calendar during planner review.</x:t>
        </x:is>
      </x:c>
      <x:c r="G71" t="inlineStr">
        <x:is>
          <x:t xml:space="preserve">Yes</x:t>
        </x:is>
      </x:c>
    </x:row>
    <x:row r="72">
      <x:c r="A72" t="inlineStr">
        <x:is>
          <x:t xml:space="preserve">ASM-0070</x:t>
        </x:is>
      </x:c>
      <x:c r="B72" t="inlineStr">
        <x:is>
          <x:t xml:space="preserve">WARNING</x:t>
        </x:is>
      </x:c>
      <x:c r="C72" t="inlineStr">
        <x:is>
          <x:t xml:space="preserve">18</x:t>
        </x:is>
      </x:c>
      <x:c r="D72" t="inlineStr">
        <x:is>
          <x:t xml:space="preserve">Duration uses an unverified planning assumption</x:t>
        </x:is>
      </x:c>
      <x:c r="E72" t="inlineStr">
        <x:is>
          <x:t xml:space="preserve">Durations require documented productivity or project input</x:t>
        </x:is>
      </x:c>
      <x:c r="F72" t="inlineStr">
        <x:is>
          <x:t xml:space="preserve">Confirm the duration, crew/productivity basis and calendar during planner review.</x:t>
        </x:is>
      </x:c>
      <x:c r="G72" t="inlineStr">
        <x:is>
          <x:t xml:space="preserve">Yes</x:t>
        </x:is>
      </x:c>
    </x:row>
    <x:row r="73">
      <x:c r="A73" t="inlineStr">
        <x:is>
          <x:t xml:space="preserve">ASM-0071</x:t>
        </x:is>
      </x:c>
      <x:c r="B73" t="inlineStr">
        <x:is>
          <x:t xml:space="preserve">WARNING</x:t>
        </x:is>
      </x:c>
      <x:c r="C73" t="inlineStr">
        <x:is>
          <x:t xml:space="preserve">19</x:t>
        </x:is>
      </x:c>
      <x:c r="D73" t="inlineStr">
        <x:is>
          <x:t xml:space="preserve">Duration uses an unverified planning assumption</x:t>
        </x:is>
      </x:c>
      <x:c r="E73" t="inlineStr">
        <x:is>
          <x:t xml:space="preserve">Durations require documented productivity or project input</x:t>
        </x:is>
      </x:c>
      <x:c r="F73" t="inlineStr">
        <x:is>
          <x:t xml:space="preserve">Confirm the duration, crew/productivity basis and calendar during planner review.</x:t>
        </x:is>
      </x:c>
      <x:c r="G73" t="inlineStr">
        <x:is>
          <x:t xml:space="preserve">Yes</x:t>
        </x:is>
      </x:c>
    </x:row>
    <x:row r="74">
      <x:c r="A74" t="inlineStr">
        <x:is>
          <x:t xml:space="preserve">ASM-0072</x:t>
        </x:is>
      </x:c>
      <x:c r="B74" t="inlineStr">
        <x:is>
          <x:t xml:space="preserve">WARNING</x:t>
        </x:is>
      </x:c>
      <x:c r="C74" t="inlineStr">
        <x:is>
          <x:t xml:space="preserve">20</x:t>
        </x:is>
      </x:c>
      <x:c r="D74" t="inlineStr">
        <x:is>
          <x:t xml:space="preserve">Duration uses an unverified planning assumption</x:t>
        </x:is>
      </x:c>
      <x:c r="E74" t="inlineStr">
        <x:is>
          <x:t xml:space="preserve">Durations require documented productivity or project input</x:t>
        </x:is>
      </x:c>
      <x:c r="F74" t="inlineStr">
        <x:is>
          <x:t xml:space="preserve">Confirm the duration, crew/productivity basis and calendar during planner review.</x:t>
        </x:is>
      </x:c>
      <x:c r="G74" t="inlineStr">
        <x:is>
          <x:t xml:space="preserve">Yes</x:t>
        </x:is>
      </x:c>
    </x:row>
    <x:row r="75">
      <x:c r="A75" t="inlineStr">
        <x:is>
          <x:t xml:space="preserve">ASM-0073</x:t>
        </x:is>
      </x:c>
      <x:c r="B75" t="inlineStr">
        <x:is>
          <x:t xml:space="preserve">WARNING</x:t>
        </x:is>
      </x:c>
      <x:c r="C75" t="inlineStr">
        <x:is>
          <x:t xml:space="preserve">21</x:t>
        </x:is>
      </x:c>
      <x:c r="D75" t="inlineStr">
        <x:is>
          <x:t xml:space="preserve">Duration uses an unverified planning assumption</x:t>
        </x:is>
      </x:c>
      <x:c r="E75" t="inlineStr">
        <x:is>
          <x:t xml:space="preserve">Durations require documented productivity or project input</x:t>
        </x:is>
      </x:c>
      <x:c r="F75" t="inlineStr">
        <x:is>
          <x:t xml:space="preserve">Confirm the duration, crew/productivity basis and calendar during planner review.</x:t>
        </x:is>
      </x:c>
      <x:c r="G75" t="inlineStr">
        <x:is>
          <x:t xml:space="preserve">Yes</x:t>
        </x:is>
      </x:c>
    </x:row>
    <x:row r="76">
      <x:c r="A76" t="inlineStr">
        <x:is>
          <x:t xml:space="preserve">ASM-0074</x:t>
        </x:is>
      </x:c>
      <x:c r="B76" t="inlineStr">
        <x:is>
          <x:t xml:space="preserve">WARNING</x:t>
        </x:is>
      </x:c>
      <x:c r="C76" t="inlineStr">
        <x:is>
          <x:t xml:space="preserve">22</x:t>
        </x:is>
      </x:c>
      <x:c r="D76" t="inlineStr">
        <x:is>
          <x:t xml:space="preserve">Duration uses an unverified planning assumption</x:t>
        </x:is>
      </x:c>
      <x:c r="E76" t="inlineStr">
        <x:is>
          <x:t xml:space="preserve">Durations require documented productivity or project input</x:t>
        </x:is>
      </x:c>
      <x:c r="F76" t="inlineStr">
        <x:is>
          <x:t xml:space="preserve">Confirm the duration, crew/productivity basis and calendar during planner review.</x:t>
        </x:is>
      </x:c>
      <x:c r="G76" t="inlineStr">
        <x:is>
          <x:t xml:space="preserve">Yes</x:t>
        </x:is>
      </x:c>
    </x:row>
    <x:row r="77">
      <x:c r="A77" t="inlineStr">
        <x:is>
          <x:t xml:space="preserve">ASM-0075</x:t>
        </x:is>
      </x:c>
      <x:c r="B77" t="inlineStr">
        <x:is>
          <x:t xml:space="preserve">WARNING</x:t>
        </x:is>
      </x:c>
      <x:c r="C77" t="inlineStr">
        <x:is>
          <x:t xml:space="preserve">23</x:t>
        </x:is>
      </x:c>
      <x:c r="D77" t="inlineStr">
        <x:is>
          <x:t xml:space="preserve">Duration uses an unverified planning assumption</x:t>
        </x:is>
      </x:c>
      <x:c r="E77" t="inlineStr">
        <x:is>
          <x:t xml:space="preserve">Durations require documented productivity or project input</x:t>
        </x:is>
      </x:c>
      <x:c r="F77" t="inlineStr">
        <x:is>
          <x:t xml:space="preserve">Confirm the duration, crew/productivity basis and calendar during planner review.</x:t>
        </x:is>
      </x:c>
      <x:c r="G77" t="inlineStr">
        <x:is>
          <x:t xml:space="preserve">Yes</x:t>
        </x:is>
      </x:c>
    </x:row>
    <x:row r="78">
      <x:c r="A78" t="inlineStr">
        <x:is>
          <x:t xml:space="preserve">ASM-0076</x:t>
        </x:is>
      </x:c>
      <x:c r="B78" t="inlineStr">
        <x:is>
          <x:t xml:space="preserve">WARNING</x:t>
        </x:is>
      </x:c>
      <x:c r="C78" t="inlineStr">
        <x:is>
          <x:t xml:space="preserve">24</x:t>
        </x:is>
      </x:c>
      <x:c r="D78" t="inlineStr">
        <x:is>
          <x:t xml:space="preserve">Duration uses an unverified planning assumption</x:t>
        </x:is>
      </x:c>
      <x:c r="E78" t="inlineStr">
        <x:is>
          <x:t xml:space="preserve">Durations require documented productivity or project input</x:t>
        </x:is>
      </x:c>
      <x:c r="F78" t="inlineStr">
        <x:is>
          <x:t xml:space="preserve">Confirm the duration, crew/productivity basis and calendar during planner review.</x:t>
        </x:is>
      </x:c>
      <x:c r="G78" t="inlineStr">
        <x:is>
          <x:t xml:space="preserve">Yes</x:t>
        </x:is>
      </x:c>
    </x:row>
    <x:row r="79">
      <x:c r="A79" t="inlineStr">
        <x:is>
          <x:t xml:space="preserve">ASM-0077</x:t>
        </x:is>
      </x:c>
      <x:c r="B79" t="inlineStr">
        <x:is>
          <x:t xml:space="preserve">WARNING</x:t>
        </x:is>
      </x:c>
      <x:c r="C79" t="inlineStr">
        <x:is>
          <x:t xml:space="preserve">25</x:t>
        </x:is>
      </x:c>
      <x:c r="D79" t="inlineStr">
        <x:is>
          <x:t xml:space="preserve">Duration uses an unverified planning assumption</x:t>
        </x:is>
      </x:c>
      <x:c r="E79" t="inlineStr">
        <x:is>
          <x:t xml:space="preserve">Durations require documented productivity or project input</x:t>
        </x:is>
      </x:c>
      <x:c r="F79" t="inlineStr">
        <x:is>
          <x:t xml:space="preserve">Confirm the duration, crew/productivity basis and calendar during planner review.</x:t>
        </x:is>
      </x:c>
      <x:c r="G79" t="inlineStr">
        <x:is>
          <x:t xml:space="preserve">Yes</x:t>
        </x:is>
      </x:c>
    </x:row>
    <x:row r="80">
      <x:c r="A80" t="inlineStr">
        <x:is>
          <x:t xml:space="preserve">ASM-0078</x:t>
        </x:is>
      </x:c>
      <x:c r="B80" t="inlineStr">
        <x:is>
          <x:t xml:space="preserve">WARNING</x:t>
        </x:is>
      </x:c>
      <x:c r="C80" t="inlineStr">
        <x:is>
          <x:t xml:space="preserve">26</x:t>
        </x:is>
      </x:c>
      <x:c r="D80" t="inlineStr">
        <x:is>
          <x:t xml:space="preserve">Duration uses an unverified planning assumption</x:t>
        </x:is>
      </x:c>
      <x:c r="E80" t="inlineStr">
        <x:is>
          <x:t xml:space="preserve">Durations require documented productivity or project input</x:t>
        </x:is>
      </x:c>
      <x:c r="F80" t="inlineStr">
        <x:is>
          <x:t xml:space="preserve">Confirm the duration, crew/productivity basis and calendar during planner review.</x:t>
        </x:is>
      </x:c>
      <x:c r="G80" t="inlineStr">
        <x:is>
          <x:t xml:space="preserve">Yes</x:t>
        </x:is>
      </x:c>
    </x:row>
    <x:row r="81">
      <x:c r="A81" t="inlineStr">
        <x:is>
          <x:t xml:space="preserve">ASM-0079</x:t>
        </x:is>
      </x:c>
      <x:c r="B81" t="inlineStr">
        <x:is>
          <x:t xml:space="preserve">WARNING</x:t>
        </x:is>
      </x:c>
      <x:c r="C81" t="inlineStr">
        <x:is>
          <x:t xml:space="preserve">27</x:t>
        </x:is>
      </x:c>
      <x:c r="D81" t="inlineStr">
        <x:is>
          <x:t xml:space="preserve">Duration uses an unverified planning assumption</x:t>
        </x:is>
      </x:c>
      <x:c r="E81" t="inlineStr">
        <x:is>
          <x:t xml:space="preserve">Durations require documented productivity or project input</x:t>
        </x:is>
      </x:c>
      <x:c r="F81" t="inlineStr">
        <x:is>
          <x:t xml:space="preserve">Confirm the duration, crew/productivity basis and calendar during planner review.</x:t>
        </x:is>
      </x:c>
      <x:c r="G81" t="inlineStr">
        <x:is>
          <x:t xml:space="preserve">Yes</x:t>
        </x:is>
      </x:c>
    </x:row>
    <x:row r="82">
      <x:c r="A82" t="inlineStr">
        <x:is>
          <x:t xml:space="preserve">ASM-0080</x:t>
        </x:is>
      </x:c>
      <x:c r="B82" t="inlineStr">
        <x:is>
          <x:t xml:space="preserve">WARNING</x:t>
        </x:is>
      </x:c>
      <x:c r="C82" t="inlineStr">
        <x:is>
          <x:t xml:space="preserve">28</x:t>
        </x:is>
      </x:c>
      <x:c r="D82" t="inlineStr">
        <x:is>
          <x:t xml:space="preserve">Duration uses an unverified planning assumption</x:t>
        </x:is>
      </x:c>
      <x:c r="E82" t="inlineStr">
        <x:is>
          <x:t xml:space="preserve">Durations require documented productivity or project input</x:t>
        </x:is>
      </x:c>
      <x:c r="F82" t="inlineStr">
        <x:is>
          <x:t xml:space="preserve">Confirm the duration, crew/productivity basis and calendar during planner review.</x:t>
        </x:is>
      </x:c>
      <x:c r="G82" t="inlineStr">
        <x:is>
          <x:t xml:space="preserve">Yes</x:t>
        </x:is>
      </x:c>
    </x:row>
    <x:row r="83">
      <x:c r="A83" t="inlineStr">
        <x:is>
          <x:t xml:space="preserve">ASM-0081</x:t>
        </x:is>
      </x:c>
      <x:c r="B83" t="inlineStr">
        <x:is>
          <x:t xml:space="preserve">WARNING</x:t>
        </x:is>
      </x:c>
      <x:c r="C83" t="inlineStr">
        <x:is>
          <x:t xml:space="preserve">29</x:t>
        </x:is>
      </x:c>
      <x:c r="D83" t="inlineStr">
        <x:is>
          <x:t xml:space="preserve">Duration uses an unverified planning assumption</x:t>
        </x:is>
      </x:c>
      <x:c r="E83" t="inlineStr">
        <x:is>
          <x:t xml:space="preserve">Durations require documented productivity or project input</x:t>
        </x:is>
      </x:c>
      <x:c r="F83" t="inlineStr">
        <x:is>
          <x:t xml:space="preserve">Confirm the duration, crew/productivity basis and calendar during planner review.</x:t>
        </x:is>
      </x:c>
      <x:c r="G83" t="inlineStr">
        <x:is>
          <x:t xml:space="preserve">Yes</x:t>
        </x:is>
      </x:c>
    </x:row>
    <x:row r="84">
      <x:c r="A84" t="inlineStr">
        <x:is>
          <x:t xml:space="preserve">ASM-0082</x:t>
        </x:is>
      </x:c>
      <x:c r="B84" t="inlineStr">
        <x:is>
          <x:t xml:space="preserve">WARNING</x:t>
        </x:is>
      </x:c>
      <x:c r="C84" t="inlineStr">
        <x:is>
          <x:t xml:space="preserve">30</x:t>
        </x:is>
      </x:c>
      <x:c r="D84" t="inlineStr">
        <x:is>
          <x:t xml:space="preserve">Duration uses an unverified planning assumption</x:t>
        </x:is>
      </x:c>
      <x:c r="E84" t="inlineStr">
        <x:is>
          <x:t xml:space="preserve">Durations require documented productivity or project input</x:t>
        </x:is>
      </x:c>
      <x:c r="F84" t="inlineStr">
        <x:is>
          <x:t xml:space="preserve">Confirm the duration, crew/productivity basis and calendar during planner review.</x:t>
        </x:is>
      </x:c>
      <x:c r="G84" t="inlineStr">
        <x:is>
          <x:t xml:space="preserve">Yes</x:t>
        </x:is>
      </x:c>
    </x:row>
    <x:row r="85">
      <x:c r="A85" t="inlineStr">
        <x:is>
          <x:t xml:space="preserve">ASM-0083</x:t>
        </x:is>
      </x:c>
      <x:c r="B85" t="inlineStr">
        <x:is>
          <x:t xml:space="preserve">WARNING</x:t>
        </x:is>
      </x:c>
      <x:c r="C85" t="inlineStr">
        <x:is>
          <x:t xml:space="preserve">31</x:t>
        </x:is>
      </x:c>
      <x:c r="D85" t="inlineStr">
        <x:is>
          <x:t xml:space="preserve">Duration uses an unverified planning assumption</x:t>
        </x:is>
      </x:c>
      <x:c r="E85" t="inlineStr">
        <x:is>
          <x:t xml:space="preserve">Durations require documented productivity or project input</x:t>
        </x:is>
      </x:c>
      <x:c r="F85" t="inlineStr">
        <x:is>
          <x:t xml:space="preserve">Confirm the duration, crew/productivity basis and calendar during planner review.</x:t>
        </x:is>
      </x:c>
      <x:c r="G85" t="inlineStr">
        <x:is>
          <x:t xml:space="preserve">Yes</x:t>
        </x:is>
      </x:c>
    </x:row>
    <x:row r="86">
      <x:c r="A86" t="inlineStr">
        <x:is>
          <x:t xml:space="preserve">ASM-0084</x:t>
        </x:is>
      </x:c>
      <x:c r="B86" t="inlineStr">
        <x:is>
          <x:t xml:space="preserve">WARNING</x:t>
        </x:is>
      </x:c>
      <x:c r="C86" t="inlineStr">
        <x:is>
          <x:t xml:space="preserve">32</x:t>
        </x:is>
      </x:c>
      <x:c r="D86" t="inlineStr">
        <x:is>
          <x:t xml:space="preserve">Duration uses an unverified planning assumption</x:t>
        </x:is>
      </x:c>
      <x:c r="E86" t="inlineStr">
        <x:is>
          <x:t xml:space="preserve">Durations require documented productivity or project input</x:t>
        </x:is>
      </x:c>
      <x:c r="F86" t="inlineStr">
        <x:is>
          <x:t xml:space="preserve">Confirm the duration, crew/productivity basis and calendar during planner review.</x:t>
        </x:is>
      </x:c>
      <x:c r="G86" t="inlineStr">
        <x:is>
          <x:t xml:space="preserve">Yes</x:t>
        </x:is>
      </x:c>
    </x:row>
    <x:row r="87">
      <x:c r="A87" t="inlineStr">
        <x:is>
          <x:t xml:space="preserve">ASM-0085</x:t>
        </x:is>
      </x:c>
      <x:c r="B87" t="inlineStr">
        <x:is>
          <x:t xml:space="preserve">WARNING</x:t>
        </x:is>
      </x:c>
      <x:c r="C87" t="inlineStr">
        <x:is>
          <x:t xml:space="preserve">33</x:t>
        </x:is>
      </x:c>
      <x:c r="D87" t="inlineStr">
        <x:is>
          <x:t xml:space="preserve">Duration uses an unverified planning assumption</x:t>
        </x:is>
      </x:c>
      <x:c r="E87" t="inlineStr">
        <x:is>
          <x:t xml:space="preserve">Durations require documented productivity or project input</x:t>
        </x:is>
      </x:c>
      <x:c r="F87" t="inlineStr">
        <x:is>
          <x:t xml:space="preserve">Confirm the duration, crew/productivity basis and calendar during planner review.</x:t>
        </x:is>
      </x:c>
      <x:c r="G87" t="inlineStr">
        <x:is>
          <x:t xml:space="preserve">Yes</x:t>
        </x:is>
      </x:c>
    </x:row>
    <x:row r="88">
      <x:c r="A88" t="inlineStr">
        <x:is>
          <x:t xml:space="preserve">ASM-0086</x:t>
        </x:is>
      </x:c>
      <x:c r="B88" t="inlineStr">
        <x:is>
          <x:t xml:space="preserve">WARNING</x:t>
        </x:is>
      </x:c>
      <x:c r="C88" t="inlineStr">
        <x:is>
          <x:t xml:space="preserve">34</x:t>
        </x:is>
      </x:c>
      <x:c r="D88" t="inlineStr">
        <x:is>
          <x:t xml:space="preserve">Duration uses an unverified planning assumption</x:t>
        </x:is>
      </x:c>
      <x:c r="E88" t="inlineStr">
        <x:is>
          <x:t xml:space="preserve">Durations require documented productivity or project input</x:t>
        </x:is>
      </x:c>
      <x:c r="F88" t="inlineStr">
        <x:is>
          <x:t xml:space="preserve">Confirm the duration, crew/productivity basis and calendar during planner review.</x:t>
        </x:is>
      </x:c>
      <x:c r="G88" t="inlineStr">
        <x:is>
          <x:t xml:space="preserve">Yes</x:t>
        </x:is>
      </x:c>
    </x:row>
    <x:row r="89">
      <x:c r="A89" t="inlineStr">
        <x:is>
          <x:t xml:space="preserve">ASM-0087</x:t>
        </x:is>
      </x:c>
      <x:c r="B89" t="inlineStr">
        <x:is>
          <x:t xml:space="preserve">WARNING</x:t>
        </x:is>
      </x:c>
      <x:c r="C89" t="inlineStr">
        <x:is>
          <x:t xml:space="preserve">35</x:t>
        </x:is>
      </x:c>
      <x:c r="D89" t="inlineStr">
        <x:is>
          <x:t xml:space="preserve">Duration uses an unverified planning assumption</x:t>
        </x:is>
      </x:c>
      <x:c r="E89" t="inlineStr">
        <x:is>
          <x:t xml:space="preserve">Durations require documented productivity or project input</x:t>
        </x:is>
      </x:c>
      <x:c r="F89" t="inlineStr">
        <x:is>
          <x:t xml:space="preserve">Confirm the duration, crew/productivity basis and calendar during planner review.</x:t>
        </x:is>
      </x:c>
      <x:c r="G89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6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62" hidden="0" customWidth="1"/>
    <x:col min="10" max="10" width="17" hidden="0" customWidth="1"/>
    <x:col min="11" max="11" width="36" hidden="0" customWidth="1"/>
    <x:col min="12" max="12" width="36" hidden="0" customWidth="1"/>
  </x:cols>
  <x:sheetData>
    <x:row r="1">
      <x:c r="A1" s="9" t="str">
        <x:v>SAMPLE ONLY — fictional progress at 30 June 2027; replace yellow inputs with site observations.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>
      <x:c r="A2" s="9" t="str">
        <x:v>Baseline unchanged. Subdivisions group source BOQ section numbers; exact row-to-task mapping remains in BOQ Coverage.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38" customHeight="1">
      <x:c r="A4" s="14" t="str">
        <x:v>Subdivision</x:v>
      </x:c>
      <x:c r="B4" s="14" t="str">
        <x:v>Task ID</x:v>
      </x:c>
      <x:c r="C4" s="14" t="str">
        <x:v>Task Name</x:v>
      </x:c>
      <x:c r="D4" s="14" t="str">
        <x:v>Proposed Duration</x:v>
      </x:c>
      <x:c r="E4" s="14" t="str">
        <x:v>Planned Start</x:v>
      </x:c>
      <x:c r="F4" s="14" t="str">
        <x:v>Planned Finish</x:v>
      </x:c>
      <x:c r="G4" s="14" t="str">
        <x:v>Work Complete %</x:v>
      </x:c>
      <x:c r="H4" s="14" t="str">
        <x:v>Reporting Date</x:v>
      </x:c>
      <x:c r="I4" s="14" t="str">
        <x:v>Remarks</x:v>
      </x:c>
      <x:c r="J4" s="14" t="str">
        <x:v>Evidence Reference</x:v>
      </x:c>
      <x:c r="K4" s="14" t="str">
        <x:v>Responsible Party</x:v>
      </x:c>
      <x:c r="L4" s="14" t="str">
        <x:v>Planning Basis</x:v>
      </x:c>
    </x:row>
    <x:row r="5" ht="48" customHeight="1">
      <x:c r="A5" s="15" t="str">
        <x:v>BOQ section 1</x:v>
      </x:c>
      <x:c r="B5" s="15" t="n">
        <x:v>1</x:v>
      </x:c>
      <x:c r="C5" s="15" t="str">
        <x:v>Mobilization, insurances, site setup and controls</x:v>
      </x:c>
      <x:c r="D5" s="15" t="str">
        <x:v>10 days</x:v>
      </x:c>
      <x:c r="E5" s="15" t="str">
        <x:v>2026-10-12</x:v>
      </x:c>
      <x:c r="F5" s="15" t="str">
        <x:v>2026-10-25</x:v>
      </x:c>
      <x:c r="G5" s="16" t="n">
        <x:v>75</x:v>
      </x:c>
      <x:c r="H5" s="17" t="str">
        <x:v>2027-06-30</x:v>
      </x:c>
      <x:c r="I5" s="17" t="str">
        <x:v>FICTIONAL SAMPLE: behind planned completion. Replace with observed update.</x:v>
      </x:c>
      <x:c r="J5" s="17"/>
      <x:c r="K5" s="17" t="str">
        <x:v>SAMPLE — replace with responsible person</x:v>
      </x:c>
      <x:c r="L5" s="15" t="str">
        <x:v>SOURCE PROPOSED SCHEDULE; NOT AN AUTHORIZED BASELINE</x:v>
      </x:c>
    </x:row>
    <x:row r="6" ht="48" customHeight="1">
      <x:c r="A6" s="15" t="str">
        <x:v>BOQ section 1</x:v>
      </x:c>
      <x:c r="B6" s="15" t="n">
        <x:v>2</x:v>
      </x:c>
      <x:c r="C6" s="15" t="str">
        <x:v>Project controls: baseline program, setting out, billboard and reporting setup</x:v>
      </x:c>
      <x:c r="D6" s="15" t="str">
        <x:v>6 days</x:v>
      </x:c>
      <x:c r="E6" s="15" t="str">
        <x:v>2026-10-12</x:v>
      </x:c>
      <x:c r="F6" s="15" t="str">
        <x:v>2026-10-18</x:v>
      </x:c>
      <x:c r="G6" s="16" t="n">
        <x:v>100</x:v>
      </x:c>
      <x:c r="H6" s="17" t="str">
        <x:v>2027-06-30</x:v>
      </x:c>
      <x:c r="I6" s="17" t="str">
        <x:v>FICTIONAL SAMPLE: tracking plan. Replace with observed update.</x:v>
      </x:c>
      <x:c r="J6" s="17"/>
      <x:c r="K6" s="17" t="str">
        <x:v>SAMPLE — replace with responsible person</x:v>
      </x:c>
      <x:c r="L6" s="15" t="str">
        <x:v>SOURCE PROPOSED SCHEDULE; NOT AN AUTHORIZED BASELINE</x:v>
      </x:c>
    </x:row>
    <x:row r="7" ht="48" customHeight="1">
      <x:c r="A7" s="15" t="str">
        <x:v>BOQ section 1</x:v>
      </x:c>
      <x:c r="B7" s="15" t="n">
        <x:v>3</x:v>
      </x:c>
      <x:c r="C7" s="15" t="str">
        <x:v>Shop drawings and as-built documentation framework</x:v>
      </x:c>
      <x:c r="D7" s="15" t="str">
        <x:v>10 days</x:v>
      </x:c>
      <x:c r="E7" s="15" t="str">
        <x:v>2026-10-19</x:v>
      </x:c>
      <x:c r="F7" s="15" t="str">
        <x:v>2026-11-01</x:v>
      </x:c>
      <x:c r="G7" s="16" t="n">
        <x:v>100</x:v>
      </x:c>
      <x:c r="H7" s="17" t="str">
        <x:v>2027-06-30</x:v>
      </x:c>
      <x:c r="I7" s="17" t="str">
        <x:v>FICTIONAL SAMPLE: tracking plan. Replace with observed update.</x:v>
      </x:c>
      <x:c r="J7" s="17"/>
      <x:c r="K7" s="17" t="str">
        <x:v>SAMPLE — replace with responsible person</x:v>
      </x:c>
      <x:c r="L7" s="15" t="str">
        <x:v>SOURCE PROPOSED SCHEDULE; NOT AN AUTHORIZED BASELINE</x:v>
      </x:c>
    </x:row>
    <x:row r="8" ht="48" customHeight="1">
      <x:c r="A8" s="15" t="str">
        <x:v>BOQ section 1</x:v>
      </x:c>
      <x:c r="B8" s="15" t="n">
        <x:v>4</x:v>
      </x:c>
      <x:c r="C8" s="15" t="str">
        <x:v>Demolition and dismantling including slab/fuel room and asphalt breakout</x:v>
      </x:c>
      <x:c r="D8" s="15" t="str">
        <x:v>20 days</x:v>
      </x:c>
      <x:c r="E8" s="15" t="str">
        <x:v>2026-10-19</x:v>
      </x:c>
      <x:c r="F8" s="15" t="str">
        <x:v>2026-11-15</x:v>
      </x:c>
      <x:c r="G8" s="16" t="n">
        <x:v>90</x:v>
      </x:c>
      <x:c r="H8" s="17" t="str">
        <x:v>2027-06-30</x:v>
      </x:c>
      <x:c r="I8" s="17" t="str">
        <x:v>FICTIONAL SAMPLE: behind planned completion. Replace with observed update.</x:v>
      </x:c>
      <x:c r="J8" s="17"/>
      <x:c r="K8" s="17" t="str">
        <x:v>SAMPLE — replace with responsible person</x:v>
      </x:c>
      <x:c r="L8" s="15" t="str">
        <x:v>SOURCE PROPOSED SCHEDULE; NOT AN AUTHORIZED BASELINE</x:v>
      </x:c>
    </x:row>
    <x:row r="9" ht="48" customHeight="1">
      <x:c r="A9" s="15" t="str">
        <x:v>BOQ section 2</x:v>
      </x:c>
      <x:c r="B9" s="15" t="n">
        <x:v>5</x:v>
      </x:c>
      <x:c r="C9" s="15" t="str">
        <x:v>Bulk earthworks and excavations including contaminated soil and pits</x:v>
      </x:c>
      <x:c r="D9" s="15" t="str">
        <x:v>25 days</x:v>
      </x:c>
      <x:c r="E9" s="15" t="str">
        <x:v>2026-11-16</x:v>
      </x:c>
      <x:c r="F9" s="15" t="str">
        <x:v>2026-12-20</x:v>
      </x:c>
      <x:c r="G9" s="16" t="n">
        <x:v>100</x:v>
      </x:c>
      <x:c r="H9" s="17" t="str">
        <x:v>2027-06-30</x:v>
      </x:c>
      <x:c r="I9" s="17" t="str">
        <x:v>FICTIONAL SAMPLE: tracking plan. Replace with observed update.</x:v>
      </x:c>
      <x:c r="J9" s="17"/>
      <x:c r="K9" s="17" t="str">
        <x:v>SAMPLE — replace with responsible person</x:v>
      </x:c>
      <x:c r="L9" s="15" t="str">
        <x:v>SOURCE PROPOSED SCHEDULE; NOT AN AUTHORIZED BASELINE</x:v>
      </x:c>
    </x:row>
    <x:row r="10" ht="48" customHeight="1">
      <x:c r="A10" s="15" t="str">
        <x:v>BOQ section 3</x:v>
      </x:c>
      <x:c r="B10" s="15" t="n">
        <x:v>6</x:v>
      </x:c>
      <x:c r="C10" s="15" t="str">
        <x:v>Blinding concrete to foundations and slab areas</x:v>
      </x:c>
      <x:c r="D10" s="15" t="str">
        <x:v>6 days</x:v>
      </x:c>
      <x:c r="E10" s="15" t="str">
        <x:v>2026-12-21</x:v>
      </x:c>
      <x:c r="F10" s="15" t="str">
        <x:v>2026-12-27</x:v>
      </x:c>
      <x:c r="G10" s="16" t="n">
        <x:v>75</x:v>
      </x:c>
      <x:c r="H10" s="17" t="str">
        <x:v>2027-06-30</x:v>
      </x:c>
      <x:c r="I10" s="17" t="str">
        <x:v>FICTIONAL SAMPLE: behind planned completion. Replace with observed update.</x:v>
      </x:c>
      <x:c r="J10" s="17"/>
      <x:c r="K10" s="17" t="str">
        <x:v>SAMPLE — replace with responsible person</x:v>
      </x:c>
      <x:c r="L10" s="15" t="str">
        <x:v>SOURCE PROPOSED SCHEDULE; NOT AN AUTHORIZED BASELINE</x:v>
      </x:c>
    </x:row>
    <x:row r="11" ht="48" customHeight="1">
      <x:c r="A11" s="15" t="str">
        <x:v>BOQ section 3</x:v>
      </x:c>
      <x:c r="B11" s="15" t="n">
        <x:v>7</x:v>
      </x:c>
      <x:c r="C11" s="15" t="str">
        <x:v>Structural concrete foundations, columns/walls to roof, manholes, stairs, pads</x:v>
      </x:c>
      <x:c r="D11" s="15" t="str">
        <x:v>90 days</x:v>
      </x:c>
      <x:c r="E11" s="15" t="str">
        <x:v>2026-12-28</x:v>
      </x:c>
      <x:c r="F11" s="15" t="str">
        <x:v>2027-04-01</x:v>
      </x:c>
      <x:c r="G11" s="16" t="n">
        <x:v>100</x:v>
      </x:c>
      <x:c r="H11" s="17" t="str">
        <x:v>2027-06-30</x:v>
      </x:c>
      <x:c r="I11" s="17" t="str">
        <x:v>FICTIONAL SAMPLE: tracking plan. Replace with observed update.</x:v>
      </x:c>
      <x:c r="J11" s="17"/>
      <x:c r="K11" s="17" t="str">
        <x:v>SAMPLE — replace with responsible person</x:v>
      </x:c>
      <x:c r="L11" s="15" t="str">
        <x:v>SOURCE PROPOSED SCHEDULE; NOT AN AUTHORIZED BASELINE</x:v>
      </x:c>
    </x:row>
    <x:row r="12" ht="48" customHeight="1">
      <x:c r="A12" s="15" t="str">
        <x:v>BOQ section 7</x:v>
      </x:c>
      <x:c r="B12" s="15" t="n">
        <x:v>8</x:v>
      </x:c>
      <x:c r="C12" s="15" t="str">
        <x:v>Concrete curing, inspection and below-grade waterproofing and protection</x:v>
      </x:c>
      <x:c r="D12" s="15" t="str">
        <x:v>20 days</x:v>
      </x:c>
      <x:c r="E12" s="15" t="str">
        <x:v>2027-01-15</x:v>
      </x:c>
      <x:c r="F12" s="15" t="str">
        <x:v>2027-02-07</x:v>
      </x:c>
      <x:c r="G12" s="16" t="n">
        <x:v>100</x:v>
      </x:c>
      <x:c r="H12" s="17" t="str">
        <x:v>2027-06-30</x:v>
      </x:c>
      <x:c r="I12" s="17" t="str">
        <x:v>FICTIONAL SAMPLE: tracking plan. Replace with observed update.</x:v>
      </x:c>
      <x:c r="J12" s="17"/>
      <x:c r="K12" s="17" t="str">
        <x:v>SAMPLE — replace with responsible person</x:v>
      </x:c>
      <x:c r="L12" s="15" t="str">
        <x:v>SOURCE PROPOSED SCHEDULE; NOT AN AUTHORIZED BASELINE</x:v>
      </x:c>
    </x:row>
    <x:row r="13" ht="48" customHeight="1">
      <x:c r="A13" s="15" t="str">
        <x:v>BOQ section 2</x:v>
      </x:c>
      <x:c r="B13" s="15" t="n">
        <x:v>9</x:v>
      </x:c>
      <x:c r="C13" s="15" t="str">
        <x:v>Backfilling and compaction to foundations and site</x:v>
      </x:c>
      <x:c r="D13" s="15" t="str">
        <x:v>15 days</x:v>
      </x:c>
      <x:c r="E13" s="15" t="str">
        <x:v>2027-02-08</x:v>
      </x:c>
      <x:c r="F13" s="15" t="str">
        <x:v>2027-02-24</x:v>
      </x:c>
      <x:c r="G13" s="16" t="n">
        <x:v>90</x:v>
      </x:c>
      <x:c r="H13" s="17" t="str">
        <x:v>2027-06-30</x:v>
      </x:c>
      <x:c r="I13" s="17" t="str">
        <x:v>FICTIONAL SAMPLE: behind planned completion. Replace with observed update.</x:v>
      </x:c>
      <x:c r="J13" s="17"/>
      <x:c r="K13" s="17" t="str">
        <x:v>SAMPLE — replace with responsible person</x:v>
      </x:c>
      <x:c r="L13" s="15" t="str">
        <x:v>SOURCE PROPOSED SCHEDULE; NOT AN AUTHORIZED BASELINE</x:v>
      </x:c>
    </x:row>
    <x:row r="14" ht="48" customHeight="1">
      <x:c r="A14" s="15" t="str">
        <x:v>BOQ section 4</x:v>
      </x:c>
      <x:c r="B14" s="15" t="n">
        <x:v>10</x:v>
      </x:c>
      <x:c r="C14" s="15" t="str">
        <x:v>Masonry/blockwork internal and external walls</x:v>
      </x:c>
      <x:c r="D14" s="15" t="str">
        <x:v>45 days</x:v>
      </x:c>
      <x:c r="E14" s="15" t="str">
        <x:v>2027-02-01</x:v>
      </x:c>
      <x:c r="F14" s="15" t="str">
        <x:v>2027-03-22</x:v>
      </x:c>
      <x:c r="G14" s="16" t="n">
        <x:v>100</x:v>
      </x:c>
      <x:c r="H14" s="17" t="str">
        <x:v>2027-06-30</x:v>
      </x:c>
      <x:c r="I14" s="17" t="str">
        <x:v>FICTIONAL SAMPLE: tracking plan. Replace with observed update.</x:v>
      </x:c>
      <x:c r="J14" s="17"/>
      <x:c r="K14" s="17" t="str">
        <x:v>SAMPLE — replace with responsible person</x:v>
      </x:c>
      <x:c r="L14" s="15" t="str">
        <x:v>SOURCE PROPOSED SCHEDULE; NOT AN AUTHORIZED BASELINE</x:v>
      </x:c>
    </x:row>
    <x:row r="15" ht="48" customHeight="1">
      <x:c r="A15" s="15" t="str">
        <x:v>BOQ section 7</x:v>
      </x:c>
      <x:c r="B15" s="15" t="n">
        <x:v>11</x:v>
      </x:c>
      <x:c r="C15" s="15" t="str">
        <x:v>Roof substrate and waterproofing system including testing and protection</x:v>
      </x:c>
      <x:c r="D15" s="15" t="str">
        <x:v>20 days</x:v>
      </x:c>
      <x:c r="E15" s="15" t="str">
        <x:v>2027-03-01</x:v>
      </x:c>
      <x:c r="F15" s="15" t="str">
        <x:v>2027-03-26</x:v>
      </x:c>
      <x:c r="G15" s="16" t="n">
        <x:v>75</x:v>
      </x:c>
      <x:c r="H15" s="17" t="str">
        <x:v>2027-06-30</x:v>
      </x:c>
      <x:c r="I15" s="17" t="str">
        <x:v>FICTIONAL SAMPLE: behind planned completion. Replace with observed update.</x:v>
      </x:c>
      <x:c r="J15" s="17"/>
      <x:c r="K15" s="17" t="str">
        <x:v>SAMPLE — replace with responsible person</x:v>
      </x:c>
      <x:c r="L15" s="15" t="str">
        <x:v>SOURCE PROPOSED SCHEDULE; NOT AN AUTHORIZED BASELINE</x:v>
      </x:c>
    </x:row>
    <x:row r="16" ht="48" customHeight="1">
      <x:c r="A16" s="15" t="str">
        <x:v>BOQ section 1; BOQ section 2</x:v>
      </x:c>
      <x:c r="B16" s="15" t="n">
        <x:v>12</x:v>
      </x:c>
      <x:c r="C16" s="15" t="str">
        <x:v>Underground and rough-in drainage and water supply incl. manholes and connections</x:v>
      </x:c>
      <x:c r="D16" s="15" t="str">
        <x:v>35 days</x:v>
      </x:c>
      <x:c r="E16" s="15" t="str">
        <x:v>2027-02-12</x:v>
      </x:c>
      <x:c r="F16" s="15" t="str">
        <x:v>2027-03-27</x:v>
      </x:c>
      <x:c r="G16" s="16" t="n">
        <x:v>100</x:v>
      </x:c>
      <x:c r="H16" s="17" t="str">
        <x:v>2027-06-30</x:v>
      </x:c>
      <x:c r="I16" s="17" t="str">
        <x:v>FICTIONAL SAMPLE: tracking plan. Replace with observed update.</x:v>
      </x:c>
      <x:c r="J16" s="17"/>
      <x:c r="K16" s="17" t="str">
        <x:v>SAMPLE — replace with responsible person</x:v>
      </x:c>
      <x:c r="L16" s="15" t="str">
        <x:v>SOURCE PROPOSED SCHEDULE; NOT AN AUTHORIZED BASELINE</x:v>
      </x:c>
    </x:row>
    <x:row r="17" ht="48" customHeight="1">
      <x:c r="A17" s="15" t="str">
        <x:v>BOQ section 3; BOQ section 5; BOQ section 6; BOQ section 7; BOQ section 2</x:v>
      </x:c>
      <x:c r="B17" s="15" t="n">
        <x:v>13</x:v>
      </x:c>
      <x:c r="C17" s="15" t="str">
        <x:v>MEP first fix: water supply, heating, ductwork, fans, trays and earthing/lighting protection rough-in</x:v>
      </x:c>
      <x:c r="D17" s="15" t="str">
        <x:v>60 days</x:v>
      </x:c>
      <x:c r="E17" s="15" t="str">
        <x:v>2027-03-04</x:v>
      </x:c>
      <x:c r="F17" s="15" t="str">
        <x:v>2027-05-02</x:v>
      </x:c>
      <x:c r="G17" s="16" t="n">
        <x:v>100</x:v>
      </x:c>
      <x:c r="H17" s="17" t="str">
        <x:v>2027-06-30</x:v>
      </x:c>
      <x:c r="I17" s="17" t="str">
        <x:v>FICTIONAL SAMPLE: tracking plan. Replace with observed update.</x:v>
      </x:c>
      <x:c r="J17" s="17"/>
      <x:c r="K17" s="17" t="str">
        <x:v>SAMPLE — replace with responsible person</x:v>
      </x:c>
      <x:c r="L17" s="15" t="str">
        <x:v>SOURCE PROPOSED SCHEDULE; NOT AN AUTHORIZED BASELINE</x:v>
      </x:c>
    </x:row>
    <x:row r="18" ht="48" customHeight="1">
      <x:c r="A18" s="15" t="str">
        <x:v>BOQ section 1</x:v>
      </x:c>
      <x:c r="B18" s="15" t="n">
        <x:v>14</x:v>
      </x:c>
      <x:c r="C18" s="15" t="str">
        <x:v>Concealed-work inspections and service pressure/leak tests</x:v>
      </x:c>
      <x:c r="D18" s="15" t="str">
        <x:v>10 days</x:v>
      </x:c>
      <x:c r="E18" s="15" t="str">
        <x:v>2027-05-03</x:v>
      </x:c>
      <x:c r="F18" s="15" t="str">
        <x:v>2027-05-13</x:v>
      </x:c>
      <x:c r="G18" s="16" t="n">
        <x:v>90</x:v>
      </x:c>
      <x:c r="H18" s="17" t="str">
        <x:v>2027-06-30</x:v>
      </x:c>
      <x:c r="I18" s="17" t="str">
        <x:v>FICTIONAL SAMPLE: behind planned completion. Replace with observed update.</x:v>
      </x:c>
      <x:c r="J18" s="17"/>
      <x:c r="K18" s="17" t="str">
        <x:v>SAMPLE — replace with responsible person</x:v>
      </x:c>
      <x:c r="L18" s="15" t="str">
        <x:v>SOURCE PROPOSED SCHEDULE; NOT AN AUTHORIZED BASELINE</x:v>
      </x:c>
    </x:row>
    <x:row r="19" ht="48" customHeight="1">
      <x:c r="A19" s="15" t="str">
        <x:v>BOQ section 9</x:v>
      </x:c>
      <x:c r="B19" s="15" t="n">
        <x:v>15</x:v>
      </x:c>
      <x:c r="C19" s="15" t="str">
        <x:v>Internal/external plaster and concrete crack rehabilitation</x:v>
      </x:c>
      <x:c r="D19" s="15" t="str">
        <x:v>40 days</x:v>
      </x:c>
      <x:c r="E19" s="15" t="str">
        <x:v>2027-03-23</x:v>
      </x:c>
      <x:c r="F19" s="15" t="str">
        <x:v>2027-05-17</x:v>
      </x:c>
      <x:c r="G19" s="16" t="n">
        <x:v>100</x:v>
      </x:c>
      <x:c r="H19" s="17" t="str">
        <x:v>2027-06-30</x:v>
      </x:c>
      <x:c r="I19" s="17" t="str">
        <x:v>FICTIONAL SAMPLE: tracking plan. Replace with observed update.</x:v>
      </x:c>
      <x:c r="J19" s="17"/>
      <x:c r="K19" s="17" t="str">
        <x:v>SAMPLE — replace with responsible person</x:v>
      </x:c>
      <x:c r="L19" s="15" t="str">
        <x:v>SOURCE PROPOSED SCHEDULE; NOT AN AUTHORIZED BASELINE</x:v>
      </x:c>
    </x:row>
    <x:row r="20" ht="48" customHeight="1">
      <x:c r="A20" s="15" t="str">
        <x:v>BOQ section 7; BOQ section 9; BOQ section 2</x:v>
      </x:c>
      <x:c r="B20" s="15" t="n">
        <x:v>16</x:v>
      </x:c>
      <x:c r="C20" s="15" t="str">
        <x:v>Wet area build-ups: first fix, screed, PU waterproofing and tests</x:v>
      </x:c>
      <x:c r="D20" s="15" t="str">
        <x:v>25 days</x:v>
      </x:c>
      <x:c r="E20" s="15" t="str">
        <x:v>2027-05-14</x:v>
      </x:c>
      <x:c r="F20" s="15" t="str">
        <x:v>2027-06-12</x:v>
      </x:c>
      <x:c r="G20" s="16" t="n">
        <x:v>75</x:v>
      </x:c>
      <x:c r="H20" s="17" t="str">
        <x:v>2027-06-30</x:v>
      </x:c>
      <x:c r="I20" s="17" t="str">
        <x:v>FICTIONAL SAMPLE: behind planned completion. Replace with observed update.</x:v>
      </x:c>
      <x:c r="J20" s="17"/>
      <x:c r="K20" s="17" t="str">
        <x:v>SAMPLE — replace with responsible person</x:v>
      </x:c>
      <x:c r="L20" s="15" t="str">
        <x:v>SOURCE PROPOSED SCHEDULE; NOT AN AUTHORIZED BASELINE</x:v>
      </x:c>
    </x:row>
    <x:row r="21" ht="48" customHeight="1">
      <x:c r="A21" s="15" t="str">
        <x:v>BOQ section 9</x:v>
      </x:c>
      <x:c r="B21" s="15" t="n">
        <x:v>17</x:v>
      </x:c>
      <x:c r="C21" s="15" t="str">
        <x:v>Ceilings grid and bulkheads, closure after inspections</x:v>
      </x:c>
      <x:c r="D21" s="15" t="str">
        <x:v>25 days</x:v>
      </x:c>
      <x:c r="E21" s="15" t="str">
        <x:v>2027-05-14</x:v>
      </x:c>
      <x:c r="F21" s="15" t="str">
        <x:v>2027-06-12</x:v>
      </x:c>
      <x:c r="G21" s="16" t="n">
        <x:v>100</x:v>
      </x:c>
      <x:c r="H21" s="17" t="str">
        <x:v>2027-06-30</x:v>
      </x:c>
      <x:c r="I21" s="17" t="str">
        <x:v>FICTIONAL SAMPLE: tracking plan. Replace with observed update.</x:v>
      </x:c>
      <x:c r="J21" s="17"/>
      <x:c r="K21" s="17" t="str">
        <x:v>SAMPLE — replace with responsible person</x:v>
      </x:c>
      <x:c r="L21" s="15" t="str">
        <x:v>SOURCE PROPOSED SCHEDULE; NOT AN AUTHORIZED BASELINE</x:v>
      </x:c>
    </x:row>
    <x:row r="22" ht="48" customHeight="1">
      <x:c r="A22" s="15" t="str">
        <x:v>BOQ section 9</x:v>
      </x:c>
      <x:c r="B22" s="15" t="n">
        <x:v>18</x:v>
      </x:c>
      <x:c r="C22" s="15" t="str">
        <x:v>Floor and wall finishes including tiles, skirtings, thresholds, terrazzo and epoxy</x:v>
      </x:c>
      <x:c r="D22" s="15" t="str">
        <x:v>45 days</x:v>
      </x:c>
      <x:c r="E22" s="15" t="str">
        <x:v>2027-06-13</x:v>
      </x:c>
      <x:c r="F22" s="15" t="str">
        <x:v>2027-07-27</x:v>
      </x:c>
      <x:c r="G22" s="16" t="n">
        <x:v>55</x:v>
      </x:c>
      <x:c r="H22" s="17" t="str">
        <x:v>2027-06-30</x:v>
      </x:c>
      <x:c r="I22" s="17" t="str">
        <x:v>FICTIONAL SAMPLE: ahead of planned completion. Replace with observed update.</x:v>
      </x:c>
      <x:c r="J22" s="17"/>
      <x:c r="K22" s="17" t="str">
        <x:v>SAMPLE — replace with responsible person</x:v>
      </x:c>
      <x:c r="L22" s="15" t="str">
        <x:v>SOURCE PROPOSED SCHEDULE; NOT AN AUTHORIZED BASELINE</x:v>
      </x:c>
    </x:row>
    <x:row r="23" ht="48" customHeight="1">
      <x:c r="A23" s="15" t="str">
        <x:v>BOQ section 5</x:v>
      </x:c>
      <x:c r="B23" s="15" t="n">
        <x:v>19</x:v>
      </x:c>
      <x:c r="C23" s="15" t="str">
        <x:v>External metallic structures, handrails, ladders, sheets and shed</x:v>
      </x:c>
      <x:c r="D23" s="15" t="str">
        <x:v>35 days</x:v>
      </x:c>
      <x:c r="E23" s="15" t="str">
        <x:v>2027-04-02</x:v>
      </x:c>
      <x:c r="F23" s="15" t="str">
        <x:v>2027-05-16</x:v>
      </x:c>
      <x:c r="G23" s="16" t="n">
        <x:v>90</x:v>
      </x:c>
      <x:c r="H23" s="17" t="str">
        <x:v>2027-06-30</x:v>
      </x:c>
      <x:c r="I23" s="17" t="str">
        <x:v>FICTIONAL SAMPLE: behind planned completion. Replace with observed update.</x:v>
      </x:c>
      <x:c r="J23" s="17"/>
      <x:c r="K23" s="17" t="str">
        <x:v>SAMPLE — replace with responsible person</x:v>
      </x:c>
      <x:c r="L23" s="15" t="str">
        <x:v>SOURCE PROPOSED SCHEDULE; NOT AN AUTHORIZED BASELINE</x:v>
      </x:c>
    </x:row>
    <x:row r="24" ht="48" customHeight="1">
      <x:c r="A24" s="15" t="str">
        <x:v>BOQ section 8</x:v>
      </x:c>
      <x:c r="B24" s="15" t="n">
        <x:v>20</x:v>
      </x:c>
      <x:c r="C24" s="15" t="str">
        <x:v>Glazing, curtain walls, doors and windows installation</x:v>
      </x:c>
      <x:c r="D24" s="15" t="str">
        <x:v>25 days</x:v>
      </x:c>
      <x:c r="E24" s="15" t="str">
        <x:v>2027-06-03</x:v>
      </x:c>
      <x:c r="F24" s="15" t="str">
        <x:v>2027-06-29</x:v>
      </x:c>
      <x:c r="G24" s="16" t="n">
        <x:v>100</x:v>
      </x:c>
      <x:c r="H24" s="17" t="str">
        <x:v>2027-06-30</x:v>
      </x:c>
      <x:c r="I24" s="17" t="str">
        <x:v>FICTIONAL SAMPLE: tracking plan. Replace with observed update.</x:v>
      </x:c>
      <x:c r="J24" s="17"/>
      <x:c r="K24" s="17" t="str">
        <x:v>SAMPLE — replace with responsible person</x:v>
      </x:c>
      <x:c r="L24" s="15" t="str">
        <x:v>SOURCE PROPOSED SCHEDULE; NOT AN AUTHORIZED BASELINE</x:v>
      </x:c>
    </x:row>
    <x:row r="25" ht="48" customHeight="1">
      <x:c r="A25" s="15" t="str">
        <x:v>BOQ section 9</x:v>
      </x:c>
      <x:c r="B25" s="15" t="n">
        <x:v>21</x:v>
      </x:c>
      <x:c r="C25" s="15" t="str">
        <x:v>Painting internal and external including fair-faced coatings</x:v>
      </x:c>
      <x:c r="D25" s="15" t="str">
        <x:v>30 days</x:v>
      </x:c>
      <x:c r="E25" s="15" t="str">
        <x:v>2027-07-01</x:v>
      </x:c>
      <x:c r="F25" s="15" t="str">
        <x:v>2027-07-31</x:v>
      </x:c>
      <x:c r="G25" s="16" t="n">
        <x:v>0</x:v>
      </x:c>
      <x:c r="H25" s="17" t="str">
        <x:v>2027-06-30</x:v>
      </x:c>
      <x:c r="I25" s="17" t="str">
        <x:v>FICTIONAL SAMPLE: not yet started. Replace with observed update.</x:v>
      </x:c>
      <x:c r="J25" s="17"/>
      <x:c r="K25" s="17" t="str">
        <x:v>SAMPLE — replace with responsible person</x:v>
      </x:c>
      <x:c r="L25" s="15" t="str">
        <x:v>SOURCE PROPOSED SCHEDULE; NOT AN AUTHORIZED BASELINE</x:v>
      </x:c>
    </x:row>
    <x:row r="26" ht="48" customHeight="1">
      <x:c r="A26" s="15" t="str">
        <x:v>BOQ section 4; BOQ section 5; BOQ section 15</x:v>
      </x:c>
      <x:c r="B26" s="15" t="n">
        <x:v>22</x:v>
      </x:c>
      <x:c r="C26" s="15" t="str">
        <x:v>Electrical second fix: devices, luminaires and cabling terminations</x:v>
      </x:c>
      <x:c r="D26" s="15" t="str">
        <x:v>30 days</x:v>
      </x:c>
      <x:c r="E26" s="15" t="str">
        <x:v>2027-07-15</x:v>
      </x:c>
      <x:c r="F26" s="15" t="str">
        <x:v>2027-08-13</x:v>
      </x:c>
      <x:c r="G26" s="16" t="n">
        <x:v>0</x:v>
      </x:c>
      <x:c r="H26" s="17" t="str">
        <x:v>2027-06-30</x:v>
      </x:c>
      <x:c r="I26" s="17" t="str">
        <x:v>FICTIONAL SAMPLE: not yet started. Replace with observed update.</x:v>
      </x:c>
      <x:c r="J26" s="17"/>
      <x:c r="K26" s="17" t="str">
        <x:v>SAMPLE — replace with responsible person</x:v>
      </x:c>
      <x:c r="L26" s="15" t="str">
        <x:v>SOURCE PROPOSED SCHEDULE; NOT AN AUTHORIZED BASELINE</x:v>
      </x:c>
    </x:row>
    <x:row r="27" ht="48" customHeight="1">
      <x:c r="A27" s="15" t="str">
        <x:v>BOQ section 10; BOQ section 4</x:v>
      </x:c>
      <x:c r="B27" s="15" t="n">
        <x:v>23</x:v>
      </x:c>
      <x:c r="C27" s="15" t="str">
        <x:v>Plumbing and sanitary second fix including fixtures and accessories</x:v>
      </x:c>
      <x:c r="D27" s="15" t="str">
        <x:v>20 days</x:v>
      </x:c>
      <x:c r="E27" s="15" t="str">
        <x:v>2027-07-28</x:v>
      </x:c>
      <x:c r="F27" s="15" t="str">
        <x:v>2027-08-19</x:v>
      </x:c>
      <x:c r="G27" s="16" t="n">
        <x:v>0</x:v>
      </x:c>
      <x:c r="H27" s="17" t="str">
        <x:v>2027-06-30</x:v>
      </x:c>
      <x:c r="I27" s="17" t="str">
        <x:v>FICTIONAL SAMPLE: not yet started. Replace with observed update.</x:v>
      </x:c>
      <x:c r="J27" s="17"/>
      <x:c r="K27" s="17" t="str">
        <x:v>SAMPLE — replace with responsible person</x:v>
      </x:c>
      <x:c r="L27" s="15" t="str">
        <x:v>SOURCE PROPOSED SCHEDULE; NOT AN AUTHORIZED BASELINE</x:v>
      </x:c>
    </x:row>
    <x:row r="28" ht="48" customHeight="1">
      <x:c r="A28" s="15" t="str">
        <x:v>BOQ section 9; BOQ section 13; BOQ section 14</x:v>
      </x:c>
      <x:c r="B28" s="15" t="n">
        <x:v>24</x:v>
      </x:c>
      <x:c r="C28" s="15" t="str">
        <x:v>Low current systems installation, terminations and testing (CCTV, ICT, TV)</x:v>
      </x:c>
      <x:c r="D28" s="15" t="str">
        <x:v>25 days</x:v>
      </x:c>
      <x:c r="E28" s="15" t="str">
        <x:v>2027-08-14</x:v>
      </x:c>
      <x:c r="F28" s="15" t="str">
        <x:v>2027-09-12</x:v>
      </x:c>
      <x:c r="G28" s="16" t="n">
        <x:v>0</x:v>
      </x:c>
      <x:c r="H28" s="17" t="str">
        <x:v>2027-06-30</x:v>
      </x:c>
      <x:c r="I28" s="17" t="str">
        <x:v>FICTIONAL SAMPLE: not yet started. Replace with observed update.</x:v>
      </x:c>
      <x:c r="J28" s="17"/>
      <x:c r="K28" s="17" t="str">
        <x:v>SAMPLE — replace with responsible person</x:v>
      </x:c>
      <x:c r="L28" s="15" t="str">
        <x:v>SOURCE PROPOSED SCHEDULE; NOT AN AUTHORIZED BASELINE</x:v>
      </x:c>
    </x:row>
    <x:row r="29" ht="48" customHeight="1">
      <x:c r="A29" s="15" t="str">
        <x:v>BOQ section 8</x:v>
      </x:c>
      <x:c r="B29" s="15" t="n">
        <x:v>25</x:v>
      </x:c>
      <x:c r="C29" s="15" t="str">
        <x:v>PV system, inverter, battery and cabling installation</x:v>
      </x:c>
      <x:c r="D29" s="15" t="str">
        <x:v>20 days</x:v>
      </x:c>
      <x:c r="E29" s="15" t="str">
        <x:v>2027-08-20</x:v>
      </x:c>
      <x:c r="F29" s="15" t="str">
        <x:v>2027-09-16</x:v>
      </x:c>
      <x:c r="G29" s="16" t="n">
        <x:v>0</x:v>
      </x:c>
      <x:c r="H29" s="17" t="str">
        <x:v>2027-06-30</x:v>
      </x:c>
      <x:c r="I29" s="17" t="str">
        <x:v>FICTIONAL SAMPLE: not yet started. Replace with observed update.</x:v>
      </x:c>
      <x:c r="J29" s="17"/>
      <x:c r="K29" s="17" t="str">
        <x:v>SAMPLE — replace with responsible person</x:v>
      </x:c>
      <x:c r="L29" s="15" t="str">
        <x:v>SOURCE PROPOSED SCHEDULE; NOT AN AUTHORIZED BASELINE</x:v>
      </x:c>
    </x:row>
    <x:row r="30" ht="48" customHeight="1">
      <x:c r="A30" s="15" t="str">
        <x:v>BOQ section 2; BOQ section 10; BOQ section 12</x:v>
      </x:c>
      <x:c r="B30" s="15" t="n">
        <x:v>26</x:v>
      </x:c>
      <x:c r="C30" s="15" t="str">
        <x:v>Power systems energization: generator install/relocate, UPS and ATS integration</x:v>
      </x:c>
      <x:c r="D30" s="15" t="str">
        <x:v>20 days</x:v>
      </x:c>
      <x:c r="E30" s="15" t="str">
        <x:v>2027-09-02</x:v>
      </x:c>
      <x:c r="F30" s="15" t="str">
        <x:v>2027-09-29</x:v>
      </x:c>
      <x:c r="G30" s="16" t="n">
        <x:v>0</x:v>
      </x:c>
      <x:c r="H30" s="17" t="str">
        <x:v>2027-06-30</x:v>
      </x:c>
      <x:c r="I30" s="17" t="str">
        <x:v>FICTIONAL SAMPLE: not yet started. Replace with observed update.</x:v>
      </x:c>
      <x:c r="J30" s="17"/>
      <x:c r="K30" s="17" t="str">
        <x:v>SAMPLE — replace with responsible person</x:v>
      </x:c>
      <x:c r="L30" s="15" t="str">
        <x:v>SOURCE PROPOSED SCHEDULE; NOT AN AUTHORIZED BASELINE</x:v>
      </x:c>
    </x:row>
    <x:row r="31" ht="48" customHeight="1">
      <x:c r="A31" s="15" t="str">
        <x:v>BOQ section 4; BOQ section 16</x:v>
      </x:c>
      <x:c r="B31" s="15" t="n">
        <x:v>27</x:v>
      </x:c>
      <x:c r="C31" s="15" t="str">
        <x:v>Lift installation and commissioning</x:v>
      </x:c>
      <x:c r="D31" s="15" t="str">
        <x:v>40 days</x:v>
      </x:c>
      <x:c r="E31" s="15" t="str">
        <x:v>2027-08-01</x:v>
      </x:c>
      <x:c r="F31" s="15" t="str">
        <x:v>2027-09-26</x:v>
      </x:c>
      <x:c r="G31" s="16" t="n">
        <x:v>0</x:v>
      </x:c>
      <x:c r="H31" s="17" t="str">
        <x:v>2027-06-30</x:v>
      </x:c>
      <x:c r="I31" s="17" t="str">
        <x:v>FICTIONAL SAMPLE: not yet started. Replace with observed update.</x:v>
      </x:c>
      <x:c r="J31" s="17"/>
      <x:c r="K31" s="17" t="str">
        <x:v>SAMPLE — replace with responsible person</x:v>
      </x:c>
      <x:c r="L31" s="15" t="str">
        <x:v>SOURCE PROPOSED SCHEDULE; NOT AN AUTHORIZED BASELINE</x:v>
      </x:c>
    </x:row>
    <x:row r="32" ht="48" customHeight="1">
      <x:c r="A32" s="15" t="str">
        <x:v>BOQ section 12</x:v>
      </x:c>
      <x:c r="B32" s="15" t="n">
        <x:v>28</x:v>
      </x:c>
      <x:c r="C32" s="15" t="str">
        <x:v>Joinery and casework installation and waste bins</x:v>
      </x:c>
      <x:c r="D32" s="15" t="str">
        <x:v>15 days</x:v>
      </x:c>
      <x:c r="E32" s="15" t="str">
        <x:v>2027-07-29</x:v>
      </x:c>
      <x:c r="F32" s="15" t="str">
        <x:v>2027-08-14</x:v>
      </x:c>
      <x:c r="G32" s="16" t="n">
        <x:v>0</x:v>
      </x:c>
      <x:c r="H32" s="17" t="str">
        <x:v>2027-06-30</x:v>
      </x:c>
      <x:c r="I32" s="17" t="str">
        <x:v>FICTIONAL SAMPLE: not yet started. Replace with observed update.</x:v>
      </x:c>
      <x:c r="J32" s="17"/>
      <x:c r="K32" s="17" t="str">
        <x:v>SAMPLE — replace with responsible person</x:v>
      </x:c>
      <x:c r="L32" s="15" t="str">
        <x:v>SOURCE PROPOSED SCHEDULE; NOT AN AUTHORIZED BASELINE</x:v>
      </x:c>
    </x:row>
    <x:row r="33" ht="48" customHeight="1">
      <x:c r="A33" s="15" t="str">
        <x:v>BOQ section 9</x:v>
      </x:c>
      <x:c r="B33" s="15" t="n">
        <x:v>29</x:v>
      </x:c>
      <x:c r="C33" s="15" t="str">
        <x:v>Facade protective coatings completion and external works tie-ins</x:v>
      </x:c>
      <x:c r="D33" s="15" t="str">
        <x:v>10 days</x:v>
      </x:c>
      <x:c r="E33" s="15" t="str">
        <x:v>2027-07-22</x:v>
      </x:c>
      <x:c r="F33" s="15" t="str">
        <x:v>2027-08-01</x:v>
      </x:c>
      <x:c r="G33" s="16" t="n">
        <x:v>0</x:v>
      </x:c>
      <x:c r="H33" s="17" t="str">
        <x:v>2027-06-30</x:v>
      </x:c>
      <x:c r="I33" s="17" t="str">
        <x:v>FICTIONAL SAMPLE: not yet started. Replace with observed update.</x:v>
      </x:c>
      <x:c r="J33" s="17"/>
      <x:c r="K33" s="17" t="str">
        <x:v>SAMPLE — replace with responsible person</x:v>
      </x:c>
      <x:c r="L33" s="15" t="str">
        <x:v>SOURCE PROPOSED SCHEDULE; NOT AN AUTHORIZED BASELINE</x:v>
      </x:c>
    </x:row>
    <x:row r="34" ht="48" customHeight="1">
      <x:c r="A34" s="15" t="str">
        <x:v>BOQ section 1</x:v>
      </x:c>
      <x:c r="B34" s="15" t="n">
        <x:v>30</x:v>
      </x:c>
      <x:c r="C34" s="15" t="str">
        <x:v>Systems pre-commissioning, testing and training</x:v>
      </x:c>
      <x:c r="D34" s="15" t="str">
        <x:v>20 days</x:v>
      </x:c>
      <x:c r="E34" s="15" t="str">
        <x:v>2027-09-30</x:v>
      </x:c>
      <x:c r="F34" s="15" t="str">
        <x:v>2027-10-27</x:v>
      </x:c>
      <x:c r="G34" s="16" t="n">
        <x:v>0</x:v>
      </x:c>
      <x:c r="H34" s="17" t="str">
        <x:v>2027-06-30</x:v>
      </x:c>
      <x:c r="I34" s="17" t="str">
        <x:v>FICTIONAL SAMPLE: not yet started. Replace with observed update.</x:v>
      </x:c>
      <x:c r="J34" s="17"/>
      <x:c r="K34" s="17" t="str">
        <x:v>SAMPLE — replace with responsible person</x:v>
      </x:c>
      <x:c r="L34" s="15" t="str">
        <x:v>SOURCE PROPOSED SCHEDULE; NOT AN AUTHORIZED BASELINE</x:v>
      </x:c>
    </x:row>
    <x:row r="35" ht="48" customHeight="1">
      <x:c r="A35" s="15" t="str">
        <x:v>BOQ section 6; BOQ section 11</x:v>
      </x:c>
      <x:c r="B35" s="15" t="n">
        <x:v>31</x:v>
      </x:c>
      <x:c r="C35" s="15" t="str">
        <x:v>Fire alarm and firefighting commissioning and integration tests</x:v>
      </x:c>
      <x:c r="D35" s="15" t="str">
        <x:v>15 days</x:v>
      </x:c>
      <x:c r="E35" s="15" t="str">
        <x:v>2027-08-20</x:v>
      </x:c>
      <x:c r="F35" s="15" t="str">
        <x:v>2027-09-09</x:v>
      </x:c>
      <x:c r="G35" s="16" t="n">
        <x:v>0</x:v>
      </x:c>
      <x:c r="H35" s="17" t="str">
        <x:v>2027-06-30</x:v>
      </x:c>
      <x:c r="I35" s="17" t="str">
        <x:v>FICTIONAL SAMPLE: not yet started. Replace with observed update.</x:v>
      </x:c>
      <x:c r="J35" s="17"/>
      <x:c r="K35" s="17" t="str">
        <x:v>SAMPLE — replace with responsible person</x:v>
      </x:c>
      <x:c r="L35" s="15" t="str">
        <x:v>SOURCE PROPOSED SCHEDULE; NOT AN AUTHORIZED BASELINE</x:v>
      </x:c>
    </x:row>
    <x:row r="36" ht="48" customHeight="1">
      <x:c r="A36" s="15" t="str">
        <x:v>BOQ section 1</x:v>
      </x:c>
      <x:c r="B36" s="15" t="n">
        <x:v>32</x:v>
      </x:c>
      <x:c r="C36" s="15" t="str">
        <x:v>As-built documentation, O&amp;M manuals and final approvals</x:v>
      </x:c>
      <x:c r="D36" s="15" t="str">
        <x:v>20 days</x:v>
      </x:c>
      <x:c r="E36" s="15" t="str">
        <x:v>2027-10-28</x:v>
      </x:c>
      <x:c r="F36" s="15" t="str">
        <x:v>2027-11-24</x:v>
      </x:c>
      <x:c r="G36" s="16" t="n">
        <x:v>0</x:v>
      </x:c>
      <x:c r="H36" s="17" t="str">
        <x:v>2027-06-30</x:v>
      </x:c>
      <x:c r="I36" s="17" t="str">
        <x:v>FICTIONAL SAMPLE: not yet started. Replace with observed update.</x:v>
      </x:c>
      <x:c r="J36" s="17"/>
      <x:c r="K36" s="17" t="str">
        <x:v>SAMPLE — replace with responsible person</x:v>
      </x:c>
      <x:c r="L36" s="15" t="str">
        <x:v>SOURCE PROPOSED SCHEDULE; NOT AN AUTHORIZED BASELINE</x:v>
      </x:c>
    </x:row>
    <x:row r="37" ht="48" customHeight="1">
      <x:c r="A37" s="15" t="str">
        <x:v>BOQ section 1</x:v>
      </x:c>
      <x:c r="B37" s="15" t="n">
        <x:v>33</x:v>
      </x:c>
      <x:c r="C37" s="15" t="str">
        <x:v>Handover, snagging and demobilization</x:v>
      </x:c>
      <x:c r="D37" s="15" t="str">
        <x:v>12 days</x:v>
      </x:c>
      <x:c r="E37" s="15" t="str">
        <x:v>2027-11-25</x:v>
      </x:c>
      <x:c r="F37" s="15" t="str">
        <x:v>2027-12-07</x:v>
      </x:c>
      <x:c r="G37" s="16" t="n">
        <x:v>0</x:v>
      </x:c>
      <x:c r="H37" s="17" t="str">
        <x:v>2027-06-30</x:v>
      </x:c>
      <x:c r="I37" s="17" t="str">
        <x:v>FICTIONAL SAMPLE: not yet started. Replace with observed update.</x:v>
      </x:c>
      <x:c r="J37" s="17"/>
      <x:c r="K37" s="17" t="str">
        <x:v>SAMPLE — replace with responsible person</x:v>
      </x:c>
      <x:c r="L37" s="15" t="str">
        <x:v>SOURCE PROPOSED SCHEDULE; NOT AN AUTHORIZED BASELINE</x:v>
      </x:c>
    </x:row>
    <x:row r="38" ht="48" customHeight="1">
      <x:c r="A38" s="15" t="str">
        <x:v>BOQ section 1</x:v>
      </x:c>
      <x:c r="B38" s="15" t="n">
        <x:v>34</x:v>
      </x:c>
      <x:c r="C38" s="15" t="str">
        <x:v>Access and commissioning logistics, authority interfaces</x:v>
      </x:c>
      <x:c r="D38" s="15" t="str">
        <x:v>10 days</x:v>
      </x:c>
      <x:c r="E38" s="15" t="str">
        <x:v>2027-09-10</x:v>
      </x:c>
      <x:c r="F38" s="15" t="str">
        <x:v>2027-09-21</x:v>
      </x:c>
      <x:c r="G38" s="16" t="n">
        <x:v>0</x:v>
      </x:c>
      <x:c r="H38" s="17" t="str">
        <x:v>2027-06-30</x:v>
      </x:c>
      <x:c r="I38" s="17" t="str">
        <x:v>FICTIONAL SAMPLE: not yet started. Replace with observed update.</x:v>
      </x:c>
      <x:c r="J38" s="17"/>
      <x:c r="K38" s="17" t="str">
        <x:v>SAMPLE — replace with responsible person</x:v>
      </x:c>
      <x:c r="L38" s="15" t="str">
        <x:v>SOURCE PROPOSED SCHEDULE; NOT AN AUTHORIZED BASELINE</x:v>
      </x:c>
    </x:row>
    <x:row r="39" ht="48" customHeight="1">
      <x:c r="A39" s="15" t="str">
        <x:v>BOQ section 1</x:v>
      </x:c>
      <x:c r="B39" s="15" t="n">
        <x:v>35</x:v>
      </x:c>
      <x:c r="C39" s="15" t="str">
        <x:v>Project environmental closeout and waste management finalization</x:v>
      </x:c>
      <x:c r="D39" s="15" t="str">
        <x:v>5 days</x:v>
      </x:c>
      <x:c r="E39" s="15" t="str">
        <x:v>2027-12-08</x:v>
      </x:c>
      <x:c r="F39" s="15" t="str">
        <x:v>2027-12-12</x:v>
      </x:c>
      <x:c r="G39" s="16" t="n">
        <x:v>0</x:v>
      </x:c>
      <x:c r="H39" s="17" t="str">
        <x:v>2027-06-30</x:v>
      </x:c>
      <x:c r="I39" s="17" t="str">
        <x:v>FICTIONAL SAMPLE: not yet started. Replace with observed update.</x:v>
      </x:c>
      <x:c r="J39" s="17"/>
      <x:c r="K39" s="17" t="str">
        <x:v>SAMPLE — replace with responsible person</x:v>
      </x:c>
      <x:c r="L39" s="15" t="str">
        <x:v>SOURCE PROPOSED SCHEDULE; NOT AN AUTHORIZED BASELINE</x:v>
      </x:c>
    </x:row>
  </x:sheetData>
  <x:mergeCells>
    <x:mergeCell ref="A1:L1"/>
    <x:mergeCell ref="A2:L2"/>
  </x:mergeCells>
  <x:dataValidations count="1">
    <x:dataValidation type="decimal" operator="between" sqref="G5:G39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7" hidden="0" customWidth="1"/>
    <x:col min="2" max="2" width="62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1" hidden="0" customWidth="1"/>
    <x:col min="12" max="12" width="17" hidden="0" customWidth="1"/>
  </x:cols>
  <x:sheetData>
    <x:row r="1">
      <x:c r="A1" s="9" t="str">
        <x:v>SAMPLE PROGRESS • comparison against the original proposed schedule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>
      <x:c r="A2" s="9" t="str">
        <x:v>Reporting cut-off</x:v>
      </x:c>
      <x:c r="B2" s="18" t="n">
        <x:v>46568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9" t="str">
        <x:v>Calendar-day approximation; status tolerance ±5 percentage points. Positive days = ahead; negative = behind. Not a critical-path deadline forecast.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9" t="str">
        <x:v>Source: .data/governed-generation-result.xlsx. Fictional reporting date chosen mid-schedule to demonstrate completed, active and future activities.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A6" s="9" t="str">
        <x:v>Task status</x:v>
      </x:c>
      <x:c r="B6" s="9" t="str">
        <x:v>Count</x:v>
      </x:c>
      <x:c r="C6" s="9"/>
      <x:c r="D6" s="9" t="str">
        <x:v>Edit yellow cells on Progress Report; use the same cut-off here and in the app.</x:v>
      </x:c>
      <x:c r="E6" s="9"/>
      <x:c r="F6" s="9"/>
      <x:c r="G6" s="9"/>
      <x:c r="H6" s="9"/>
      <x:c r="I6" s="9"/>
      <x:c r="J6" s="9"/>
      <x:c r="K6" s="9"/>
      <x:c r="L6" s="9"/>
    </x:row>
    <x:row r="7">
      <x:c r="A7" s="9" t="str">
        <x:v>EARLY</x:v>
      </x:c>
      <x:c r="B7" s="9" t="n">
        <x:f>COUNTIFS(K14:K48,A7)</x:f>
        <x:v>1</x:v>
      </x:c>
      <x:c r="C7" s="9"/>
      <x:c r="D7" s="9" t="str">
        <x:v>Upload this entire workbook on /progress → Preview workbook. Tasks and Progress Report use the app’s required headers.</x:v>
      </x:c>
      <x:c r="E7" s="9"/>
      <x:c r="F7" s="9"/>
      <x:c r="G7" s="9"/>
      <x:c r="H7" s="9"/>
      <x:c r="I7" s="9"/>
      <x:c r="J7" s="9"/>
      <x:c r="K7" s="9"/>
      <x:c r="L7" s="9"/>
    </x:row>
    <x:row r="8">
      <x:c r="A8" s="9" t="str">
        <x:v>ON TIME</x:v>
      </x:c>
      <x:c r="B8" s="9" t="n">
        <x:f>COUNTIFS(K14:K48,A8)</x:f>
        <x:v>26</x:v>
      </x:c>
      <x:c r="C8" s="9"/>
      <x:c r="D8" s="9" t="str">
        <x:v>No project-wide completion average is inferred: approved weights/quantities are required for that calculation.</x:v>
      </x:c>
      <x:c r="E8" s="9"/>
      <x:c r="F8" s="9"/>
      <x:c r="G8" s="9"/>
      <x:c r="H8" s="9"/>
      <x:c r="I8" s="9"/>
      <x:c r="J8" s="9"/>
      <x:c r="K8" s="9"/>
      <x:c r="L8" s="9"/>
    </x:row>
    <x:row r="9">
      <x:c r="A9" s="9" t="str">
        <x:v>LATE</x:v>
      </x:c>
      <x:c r="B9" s="9" t="n">
        <x:f>COUNTIFS(K14:K48,A9)</x:f>
        <x:v>8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>
      <x:c r="A10" s="9" t="str">
        <x:v>NOT REPORTED</x:v>
      </x:c>
      <x:c r="B10" s="9" t="n">
        <x:f>COUNTIFS(K14:K48,A10)</x:f>
        <x:v>0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ht="38" customHeight="1">
      <x:c r="A13" s="14" t="str">
        <x:v>Task ID</x:v>
      </x:c>
      <x:c r="B13" s="14" t="str">
        <x:v>Task / activity</x:v>
      </x:c>
      <x:c r="C13" s="14" t="str">
        <x:v>BOQ subdivision</x:v>
      </x:c>
      <x:c r="D13" s="14" t="str">
        <x:v>Planned start</x:v>
      </x:c>
      <x:c r="E13" s="14" t="str">
        <x:v>Planned finish</x:v>
      </x:c>
      <x:c r="F13" s="14" t="str">
        <x:v>Duration (days)</x:v>
      </x:c>
      <x:c r="G13" s="14" t="str">
        <x:v>Planned %</x:v>
      </x:c>
      <x:c r="H13" s="14" t="str">
        <x:v>Reported %</x:v>
      </x:c>
      <x:c r="I13" s="14" t="str">
        <x:v>Variance (pp)</x:v>
      </x:c>
      <x:c r="J13" s="14" t="str">
        <x:v>Approx. days +/−</x:v>
      </x:c>
      <x:c r="K13" s="14" t="str">
        <x:v>Status</x:v>
      </x:c>
      <x:c r="L13" s="14" t="str">
        <x:v>Reporting date</x:v>
      </x:c>
    </x:row>
    <x:row r="14" ht="48" customHeight="1">
      <x:c r="A14" s="15" t="n">
        <x:v>1</x:v>
      </x:c>
      <x:c r="B14" s="15" t="str">
        <x:v>Mobilization, insurances, site setup and controls</x:v>
      </x:c>
      <x:c r="C14" s="15" t="str">
        <x:v>BOQ section 1</x:v>
      </x:c>
      <x:c r="D14" s="22" t="n">
        <x:v>46307</x:v>
      </x:c>
      <x:c r="E14" s="22" t="n">
        <x:v>46320</x:v>
      </x:c>
      <x:c r="F14" s="15" t="n">
        <x:v>10</x:v>
      </x:c>
      <x:c r="G14" s="23" t="n">
        <x:f>IF($B$2&lt;D14,0,IF($B$2&gt;=E14,100,MIN(100,($B$2-D14+1)/(E14-D14+1)*100)))</x:f>
        <x:v>100</x:v>
      </x:c>
      <x:c r="H14" s="23" t="n">
        <x:f>IF(ISNUMBER('Progress Report'!G5),'Progress Report'!G5,"")</x:f>
        <x:v>75</x:v>
      </x:c>
      <x:c r="I14" s="24" t="n">
        <x:f>IF(ISNUMBER(H14),H14-G14,"")</x:f>
        <x:v>-25</x:v>
      </x:c>
      <x:c r="J14" s="24" t="n">
        <x:f>IF(ISNUMBER(I14),ROUND(I14/100*F14,1),"")</x:f>
        <x:v>-2.5</x:v>
      </x:c>
      <x:c r="K14" s="15" t="str">
        <x:f>IF(ISNUMBER(H14),IF(I14&gt;5,"EARLY",IF(I14&lt;-5,"LATE","ON TIME")),"NOT REPORTED")</x:f>
        <x:v>LATE</x:v>
      </x:c>
      <x:c r="L14" s="15" t="str">
        <x:f>'Progress Report'!H5</x:f>
        <x:v>2027-06-30</x:v>
      </x:c>
    </x:row>
    <x:row r="15" ht="48" customHeight="1">
      <x:c r="A15" s="15" t="n">
        <x:v>2</x:v>
      </x:c>
      <x:c r="B15" s="15" t="str">
        <x:v>Project controls: baseline program, setting out, billboard and reporting setup</x:v>
      </x:c>
      <x:c r="C15" s="15" t="str">
        <x:v>BOQ section 1</x:v>
      </x:c>
      <x:c r="D15" s="22" t="n">
        <x:v>46307</x:v>
      </x:c>
      <x:c r="E15" s="22" t="n">
        <x:v>46313</x:v>
      </x:c>
      <x:c r="F15" s="15" t="n">
        <x:v>6</x:v>
      </x:c>
      <x:c r="G15" s="23" t="n">
        <x:f>IF($B$2&lt;D15,0,IF($B$2&gt;=E15,100,MIN(100,($B$2-D15+1)/(E15-D15+1)*100)))</x:f>
        <x:v>100</x:v>
      </x:c>
      <x:c r="H15" s="23" t="n">
        <x:f>IF(ISNUMBER('Progress Report'!G6),'Progress Report'!G6,"")</x:f>
        <x:v>100</x:v>
      </x:c>
      <x:c r="I15" s="24" t="n">
        <x:f>IF(ISNUMBER(H15),H15-G15,"")</x:f>
        <x:v>0</x:v>
      </x:c>
      <x:c r="J15" s="24" t="n">
        <x:f>IF(ISNUMBER(I15),ROUND(I15/100*F15,1),"")</x:f>
        <x:v>0</x:v>
      </x:c>
      <x:c r="K15" s="15" t="str">
        <x:f>IF(ISNUMBER(H15),IF(I15&gt;5,"EARLY",IF(I15&lt;-5,"LATE","ON TIME")),"NOT REPORTED")</x:f>
        <x:v>ON TIME</x:v>
      </x:c>
      <x:c r="L15" s="15" t="str">
        <x:f>'Progress Report'!H6</x:f>
        <x:v>2027-06-30</x:v>
      </x:c>
    </x:row>
    <x:row r="16" ht="48" customHeight="1">
      <x:c r="A16" s="15" t="n">
        <x:v>3</x:v>
      </x:c>
      <x:c r="B16" s="15" t="str">
        <x:v>Shop drawings and as-built documentation framework</x:v>
      </x:c>
      <x:c r="C16" s="15" t="str">
        <x:v>BOQ section 1</x:v>
      </x:c>
      <x:c r="D16" s="22" t="n">
        <x:v>46314</x:v>
      </x:c>
      <x:c r="E16" s="22" t="n">
        <x:v>46327</x:v>
      </x:c>
      <x:c r="F16" s="15" t="n">
        <x:v>10</x:v>
      </x:c>
      <x:c r="G16" s="23" t="n">
        <x:f>IF($B$2&lt;D16,0,IF($B$2&gt;=E16,100,MIN(100,($B$2-D16+1)/(E16-D16+1)*100)))</x:f>
        <x:v>100</x:v>
      </x:c>
      <x:c r="H16" s="23" t="n">
        <x:f>IF(ISNUMBER('Progress Report'!G7),'Progress Report'!G7,"")</x:f>
        <x:v>100</x:v>
      </x:c>
      <x:c r="I16" s="24" t="n">
        <x:f>IF(ISNUMBER(H16),H16-G16,"")</x:f>
        <x:v>0</x:v>
      </x:c>
      <x:c r="J16" s="24" t="n">
        <x:f>IF(ISNUMBER(I16),ROUND(I16/100*F16,1),"")</x:f>
        <x:v>0</x:v>
      </x:c>
      <x:c r="K16" s="15" t="str">
        <x:f>IF(ISNUMBER(H16),IF(I16&gt;5,"EARLY",IF(I16&lt;-5,"LATE","ON TIME")),"NOT REPORTED")</x:f>
        <x:v>ON TIME</x:v>
      </x:c>
      <x:c r="L16" s="15" t="str">
        <x:f>'Progress Report'!H7</x:f>
        <x:v>2027-06-30</x:v>
      </x:c>
    </x:row>
    <x:row r="17" ht="48" customHeight="1">
      <x:c r="A17" s="15" t="n">
        <x:v>4</x:v>
      </x:c>
      <x:c r="B17" s="15" t="str">
        <x:v>Demolition and dismantling including slab/fuel room and asphalt breakout</x:v>
      </x:c>
      <x:c r="C17" s="15" t="str">
        <x:v>BOQ section 1</x:v>
      </x:c>
      <x:c r="D17" s="22" t="n">
        <x:v>46314</x:v>
      </x:c>
      <x:c r="E17" s="22" t="n">
        <x:v>46341</x:v>
      </x:c>
      <x:c r="F17" s="15" t="n">
        <x:v>20</x:v>
      </x:c>
      <x:c r="G17" s="23" t="n">
        <x:f>IF($B$2&lt;D17,0,IF($B$2&gt;=E17,100,MIN(100,($B$2-D17+1)/(E17-D17+1)*100)))</x:f>
        <x:v>100</x:v>
      </x:c>
      <x:c r="H17" s="23" t="n">
        <x:f>IF(ISNUMBER('Progress Report'!G8),'Progress Report'!G8,"")</x:f>
        <x:v>90</x:v>
      </x:c>
      <x:c r="I17" s="24" t="n">
        <x:f>IF(ISNUMBER(H17),H17-G17,"")</x:f>
        <x:v>-10</x:v>
      </x:c>
      <x:c r="J17" s="24" t="n">
        <x:f>IF(ISNUMBER(I17),ROUND(I17/100*F17,1),"")</x:f>
        <x:v>-2</x:v>
      </x:c>
      <x:c r="K17" s="15" t="str">
        <x:f>IF(ISNUMBER(H17),IF(I17&gt;5,"EARLY",IF(I17&lt;-5,"LATE","ON TIME")),"NOT REPORTED")</x:f>
        <x:v>LATE</x:v>
      </x:c>
      <x:c r="L17" s="15" t="str">
        <x:f>'Progress Report'!H8</x:f>
        <x:v>2027-06-30</x:v>
      </x:c>
    </x:row>
    <x:row r="18" ht="48" customHeight="1">
      <x:c r="A18" s="15" t="n">
        <x:v>5</x:v>
      </x:c>
      <x:c r="B18" s="15" t="str">
        <x:v>Bulk earthworks and excavations including contaminated soil and pits</x:v>
      </x:c>
      <x:c r="C18" s="15" t="str">
        <x:v>BOQ section 2</x:v>
      </x:c>
      <x:c r="D18" s="22" t="n">
        <x:v>46342</x:v>
      </x:c>
      <x:c r="E18" s="22" t="n">
        <x:v>46376</x:v>
      </x:c>
      <x:c r="F18" s="15" t="n">
        <x:v>25</x:v>
      </x:c>
      <x:c r="G18" s="23" t="n">
        <x:f>IF($B$2&lt;D18,0,IF($B$2&gt;=E18,100,MIN(100,($B$2-D18+1)/(E18-D18+1)*100)))</x:f>
        <x:v>100</x:v>
      </x:c>
      <x:c r="H18" s="23" t="n">
        <x:f>IF(ISNUMBER('Progress Report'!G9),'Progress Report'!G9,"")</x:f>
        <x:v>100</x:v>
      </x:c>
      <x:c r="I18" s="24" t="n">
        <x:f>IF(ISNUMBER(H18),H18-G18,"")</x:f>
        <x:v>0</x:v>
      </x:c>
      <x:c r="J18" s="24" t="n">
        <x:f>IF(ISNUMBER(I18),ROUND(I18/100*F18,1),"")</x:f>
        <x:v>0</x:v>
      </x:c>
      <x:c r="K18" s="15" t="str">
        <x:f>IF(ISNUMBER(H18),IF(I18&gt;5,"EARLY",IF(I18&lt;-5,"LATE","ON TIME")),"NOT REPORTED")</x:f>
        <x:v>ON TIME</x:v>
      </x:c>
      <x:c r="L18" s="15" t="str">
        <x:f>'Progress Report'!H9</x:f>
        <x:v>2027-06-30</x:v>
      </x:c>
    </x:row>
    <x:row r="19" ht="48" customHeight="1">
      <x:c r="A19" s="15" t="n">
        <x:v>6</x:v>
      </x:c>
      <x:c r="B19" s="15" t="str">
        <x:v>Blinding concrete to foundations and slab areas</x:v>
      </x:c>
      <x:c r="C19" s="15" t="str">
        <x:v>BOQ section 3</x:v>
      </x:c>
      <x:c r="D19" s="22" t="n">
        <x:v>46377</x:v>
      </x:c>
      <x:c r="E19" s="22" t="n">
        <x:v>46383</x:v>
      </x:c>
      <x:c r="F19" s="15" t="n">
        <x:v>6</x:v>
      </x:c>
      <x:c r="G19" s="23" t="n">
        <x:f>IF($B$2&lt;D19,0,IF($B$2&gt;=E19,100,MIN(100,($B$2-D19+1)/(E19-D19+1)*100)))</x:f>
        <x:v>100</x:v>
      </x:c>
      <x:c r="H19" s="23" t="n">
        <x:f>IF(ISNUMBER('Progress Report'!G10),'Progress Report'!G10,"")</x:f>
        <x:v>75</x:v>
      </x:c>
      <x:c r="I19" s="24" t="n">
        <x:f>IF(ISNUMBER(H19),H19-G19,"")</x:f>
        <x:v>-25</x:v>
      </x:c>
      <x:c r="J19" s="24" t="n">
        <x:f>IF(ISNUMBER(I19),ROUND(I19/100*F19,1),"")</x:f>
        <x:v>-1.5</x:v>
      </x:c>
      <x:c r="K19" s="15" t="str">
        <x:f>IF(ISNUMBER(H19),IF(I19&gt;5,"EARLY",IF(I19&lt;-5,"LATE","ON TIME")),"NOT REPORTED")</x:f>
        <x:v>LATE</x:v>
      </x:c>
      <x:c r="L19" s="15" t="str">
        <x:f>'Progress Report'!H10</x:f>
        <x:v>2027-06-30</x:v>
      </x:c>
    </x:row>
    <x:row r="20" ht="48" customHeight="1">
      <x:c r="A20" s="15" t="n">
        <x:v>7</x:v>
      </x:c>
      <x:c r="B20" s="15" t="str">
        <x:v>Structural concrete foundations, columns/walls to roof, manholes, stairs, pads</x:v>
      </x:c>
      <x:c r="C20" s="15" t="str">
        <x:v>BOQ section 3</x:v>
      </x:c>
      <x:c r="D20" s="22" t="n">
        <x:v>46384</x:v>
      </x:c>
      <x:c r="E20" s="22" t="n">
        <x:v>46478</x:v>
      </x:c>
      <x:c r="F20" s="15" t="n">
        <x:v>90</x:v>
      </x:c>
      <x:c r="G20" s="23" t="n">
        <x:f>IF($B$2&lt;D20,0,IF($B$2&gt;=E20,100,MIN(100,($B$2-D20+1)/(E20-D20+1)*100)))</x:f>
        <x:v>100</x:v>
      </x:c>
      <x:c r="H20" s="23" t="n">
        <x:f>IF(ISNUMBER('Progress Report'!G11),'Progress Report'!G11,"")</x:f>
        <x:v>100</x:v>
      </x:c>
      <x:c r="I20" s="24" t="n">
        <x:f>IF(ISNUMBER(H20),H20-G20,"")</x:f>
        <x:v>0</x:v>
      </x:c>
      <x:c r="J20" s="24" t="n">
        <x:f>IF(ISNUMBER(I20),ROUND(I20/100*F20,1),"")</x:f>
        <x:v>0</x:v>
      </x:c>
      <x:c r="K20" s="15" t="str">
        <x:f>IF(ISNUMBER(H20),IF(I20&gt;5,"EARLY",IF(I20&lt;-5,"LATE","ON TIME")),"NOT REPORTED")</x:f>
        <x:v>ON TIME</x:v>
      </x:c>
      <x:c r="L20" s="15" t="str">
        <x:f>'Progress Report'!H11</x:f>
        <x:v>2027-06-30</x:v>
      </x:c>
    </x:row>
    <x:row r="21" ht="48" customHeight="1">
      <x:c r="A21" s="15" t="n">
        <x:v>8</x:v>
      </x:c>
      <x:c r="B21" s="15" t="str">
        <x:v>Concrete curing, inspection and below-grade waterproofing and protection</x:v>
      </x:c>
      <x:c r="C21" s="15" t="str">
        <x:v>BOQ section 7</x:v>
      </x:c>
      <x:c r="D21" s="22" t="n">
        <x:v>46402</x:v>
      </x:c>
      <x:c r="E21" s="22" t="n">
        <x:v>46425</x:v>
      </x:c>
      <x:c r="F21" s="15" t="n">
        <x:v>20</x:v>
      </x:c>
      <x:c r="G21" s="23" t="n">
        <x:f>IF($B$2&lt;D21,0,IF($B$2&gt;=E21,100,MIN(100,($B$2-D21+1)/(E21-D21+1)*100)))</x:f>
        <x:v>100</x:v>
      </x:c>
      <x:c r="H21" s="23" t="n">
        <x:f>IF(ISNUMBER('Progress Report'!G12),'Progress Report'!G12,"")</x:f>
        <x:v>100</x:v>
      </x:c>
      <x:c r="I21" s="24" t="n">
        <x:f>IF(ISNUMBER(H21),H21-G21,"")</x:f>
        <x:v>0</x:v>
      </x:c>
      <x:c r="J21" s="24" t="n">
        <x:f>IF(ISNUMBER(I21),ROUND(I21/100*F21,1),"")</x:f>
        <x:v>0</x:v>
      </x:c>
      <x:c r="K21" s="15" t="str">
        <x:f>IF(ISNUMBER(H21),IF(I21&gt;5,"EARLY",IF(I21&lt;-5,"LATE","ON TIME")),"NOT REPORTED")</x:f>
        <x:v>ON TIME</x:v>
      </x:c>
      <x:c r="L21" s="15" t="str">
        <x:f>'Progress Report'!H12</x:f>
        <x:v>2027-06-30</x:v>
      </x:c>
    </x:row>
    <x:row r="22" ht="48" customHeight="1">
      <x:c r="A22" s="15" t="n">
        <x:v>9</x:v>
      </x:c>
      <x:c r="B22" s="15" t="str">
        <x:v>Backfilling and compaction to foundations and site</x:v>
      </x:c>
      <x:c r="C22" s="15" t="str">
        <x:v>BOQ section 2</x:v>
      </x:c>
      <x:c r="D22" s="22" t="n">
        <x:v>46426</x:v>
      </x:c>
      <x:c r="E22" s="22" t="n">
        <x:v>46442</x:v>
      </x:c>
      <x:c r="F22" s="15" t="n">
        <x:v>15</x:v>
      </x:c>
      <x:c r="G22" s="23" t="n">
        <x:f>IF($B$2&lt;D22,0,IF($B$2&gt;=E22,100,MIN(100,($B$2-D22+1)/(E22-D22+1)*100)))</x:f>
        <x:v>100</x:v>
      </x:c>
      <x:c r="H22" s="23" t="n">
        <x:f>IF(ISNUMBER('Progress Report'!G13),'Progress Report'!G13,"")</x:f>
        <x:v>90</x:v>
      </x:c>
      <x:c r="I22" s="24" t="n">
        <x:f>IF(ISNUMBER(H22),H22-G22,"")</x:f>
        <x:v>-10</x:v>
      </x:c>
      <x:c r="J22" s="24" t="n">
        <x:f>IF(ISNUMBER(I22),ROUND(I22/100*F22,1),"")</x:f>
        <x:v>-1.5</x:v>
      </x:c>
      <x:c r="K22" s="15" t="str">
        <x:f>IF(ISNUMBER(H22),IF(I22&gt;5,"EARLY",IF(I22&lt;-5,"LATE","ON TIME")),"NOT REPORTED")</x:f>
        <x:v>LATE</x:v>
      </x:c>
      <x:c r="L22" s="15" t="str">
        <x:f>'Progress Report'!H13</x:f>
        <x:v>2027-06-30</x:v>
      </x:c>
    </x:row>
    <x:row r="23" ht="48" customHeight="1">
      <x:c r="A23" s="15" t="n">
        <x:v>10</x:v>
      </x:c>
      <x:c r="B23" s="15" t="str">
        <x:v>Masonry/blockwork internal and external walls</x:v>
      </x:c>
      <x:c r="C23" s="15" t="str">
        <x:v>BOQ section 4</x:v>
      </x:c>
      <x:c r="D23" s="22" t="n">
        <x:v>46419</x:v>
      </x:c>
      <x:c r="E23" s="22" t="n">
        <x:v>46468</x:v>
      </x:c>
      <x:c r="F23" s="15" t="n">
        <x:v>45</x:v>
      </x:c>
      <x:c r="G23" s="23" t="n">
        <x:f>IF($B$2&lt;D23,0,IF($B$2&gt;=E23,100,MIN(100,($B$2-D23+1)/(E23-D23+1)*100)))</x:f>
        <x:v>100</x:v>
      </x:c>
      <x:c r="H23" s="23" t="n">
        <x:f>IF(ISNUMBER('Progress Report'!G14),'Progress Report'!G14,"")</x:f>
        <x:v>100</x:v>
      </x:c>
      <x:c r="I23" s="24" t="n">
        <x:f>IF(ISNUMBER(H23),H23-G23,"")</x:f>
        <x:v>0</x:v>
      </x:c>
      <x:c r="J23" s="24" t="n">
        <x:f>IF(ISNUMBER(I23),ROUND(I23/100*F23,1),"")</x:f>
        <x:v>0</x:v>
      </x:c>
      <x:c r="K23" s="15" t="str">
        <x:f>IF(ISNUMBER(H23),IF(I23&gt;5,"EARLY",IF(I23&lt;-5,"LATE","ON TIME")),"NOT REPORTED")</x:f>
        <x:v>ON TIME</x:v>
      </x:c>
      <x:c r="L23" s="15" t="str">
        <x:f>'Progress Report'!H14</x:f>
        <x:v>2027-06-30</x:v>
      </x:c>
    </x:row>
    <x:row r="24" ht="48" customHeight="1">
      <x:c r="A24" s="15" t="n">
        <x:v>11</x:v>
      </x:c>
      <x:c r="B24" s="15" t="str">
        <x:v>Roof substrate and waterproofing system including testing and protection</x:v>
      </x:c>
      <x:c r="C24" s="15" t="str">
        <x:v>BOQ section 7</x:v>
      </x:c>
      <x:c r="D24" s="22" t="n">
        <x:v>46447</x:v>
      </x:c>
      <x:c r="E24" s="22" t="n">
        <x:v>46472</x:v>
      </x:c>
      <x:c r="F24" s="15" t="n">
        <x:v>20</x:v>
      </x:c>
      <x:c r="G24" s="23" t="n">
        <x:f>IF($B$2&lt;D24,0,IF($B$2&gt;=E24,100,MIN(100,($B$2-D24+1)/(E24-D24+1)*100)))</x:f>
        <x:v>100</x:v>
      </x:c>
      <x:c r="H24" s="23" t="n">
        <x:f>IF(ISNUMBER('Progress Report'!G15),'Progress Report'!G15,"")</x:f>
        <x:v>75</x:v>
      </x:c>
      <x:c r="I24" s="24" t="n">
        <x:f>IF(ISNUMBER(H24),H24-G24,"")</x:f>
        <x:v>-25</x:v>
      </x:c>
      <x:c r="J24" s="24" t="n">
        <x:f>IF(ISNUMBER(I24),ROUND(I24/100*F24,1),"")</x:f>
        <x:v>-5</x:v>
      </x:c>
      <x:c r="K24" s="15" t="str">
        <x:f>IF(ISNUMBER(H24),IF(I24&gt;5,"EARLY",IF(I24&lt;-5,"LATE","ON TIME")),"NOT REPORTED")</x:f>
        <x:v>LATE</x:v>
      </x:c>
      <x:c r="L24" s="15" t="str">
        <x:f>'Progress Report'!H15</x:f>
        <x:v>2027-06-30</x:v>
      </x:c>
    </x:row>
    <x:row r="25" ht="48" customHeight="1">
      <x:c r="A25" s="15" t="n">
        <x:v>12</x:v>
      </x:c>
      <x:c r="B25" s="15" t="str">
        <x:v>Underground and rough-in drainage and water supply incl. manholes and connections</x:v>
      </x:c>
      <x:c r="C25" s="15" t="str">
        <x:v>BOQ section 1; BOQ section 2</x:v>
      </x:c>
      <x:c r="D25" s="22" t="n">
        <x:v>46430</x:v>
      </x:c>
      <x:c r="E25" s="22" t="n">
        <x:v>46473</x:v>
      </x:c>
      <x:c r="F25" s="15" t="n">
        <x:v>35</x:v>
      </x:c>
      <x:c r="G25" s="23" t="n">
        <x:f>IF($B$2&lt;D25,0,IF($B$2&gt;=E25,100,MIN(100,($B$2-D25+1)/(E25-D25+1)*100)))</x:f>
        <x:v>100</x:v>
      </x:c>
      <x:c r="H25" s="23" t="n">
        <x:f>IF(ISNUMBER('Progress Report'!G16),'Progress Report'!G16,"")</x:f>
        <x:v>100</x:v>
      </x:c>
      <x:c r="I25" s="24" t="n">
        <x:f>IF(ISNUMBER(H25),H25-G25,"")</x:f>
        <x:v>0</x:v>
      </x:c>
      <x:c r="J25" s="24" t="n">
        <x:f>IF(ISNUMBER(I25),ROUND(I25/100*F25,1),"")</x:f>
        <x:v>0</x:v>
      </x:c>
      <x:c r="K25" s="15" t="str">
        <x:f>IF(ISNUMBER(H25),IF(I25&gt;5,"EARLY",IF(I25&lt;-5,"LATE","ON TIME")),"NOT REPORTED")</x:f>
        <x:v>ON TIME</x:v>
      </x:c>
      <x:c r="L25" s="15" t="str">
        <x:f>'Progress Report'!H16</x:f>
        <x:v>2027-06-30</x:v>
      </x:c>
    </x:row>
    <x:row r="26" ht="48" customHeight="1">
      <x:c r="A26" s="15" t="n">
        <x:v>13</x:v>
      </x:c>
      <x:c r="B26" s="15" t="str">
        <x:v>MEP first fix: water supply, heating, ductwork, fans, trays and earthing/lighting protection rough-in</x:v>
      </x:c>
      <x:c r="C26" s="15" t="str">
        <x:v>BOQ section 3; BOQ section 5; BOQ section 6; BOQ section 7; BOQ section 2</x:v>
      </x:c>
      <x:c r="D26" s="22" t="n">
        <x:v>46450</x:v>
      </x:c>
      <x:c r="E26" s="22" t="n">
        <x:v>46509</x:v>
      </x:c>
      <x:c r="F26" s="15" t="n">
        <x:v>60</x:v>
      </x:c>
      <x:c r="G26" s="23" t="n">
        <x:f>IF($B$2&lt;D26,0,IF($B$2&gt;=E26,100,MIN(100,($B$2-D26+1)/(E26-D26+1)*100)))</x:f>
        <x:v>100</x:v>
      </x:c>
      <x:c r="H26" s="23" t="n">
        <x:f>IF(ISNUMBER('Progress Report'!G17),'Progress Report'!G17,"")</x:f>
        <x:v>100</x:v>
      </x:c>
      <x:c r="I26" s="24" t="n">
        <x:f>IF(ISNUMBER(H26),H26-G26,"")</x:f>
        <x:v>0</x:v>
      </x:c>
      <x:c r="J26" s="24" t="n">
        <x:f>IF(ISNUMBER(I26),ROUND(I26/100*F26,1),"")</x:f>
        <x:v>0</x:v>
      </x:c>
      <x:c r="K26" s="15" t="str">
        <x:f>IF(ISNUMBER(H26),IF(I26&gt;5,"EARLY",IF(I26&lt;-5,"LATE","ON TIME")),"NOT REPORTED")</x:f>
        <x:v>ON TIME</x:v>
      </x:c>
      <x:c r="L26" s="15" t="str">
        <x:f>'Progress Report'!H17</x:f>
        <x:v>2027-06-30</x:v>
      </x:c>
    </x:row>
    <x:row r="27" ht="48" customHeight="1">
      <x:c r="A27" s="15" t="n">
        <x:v>14</x:v>
      </x:c>
      <x:c r="B27" s="15" t="str">
        <x:v>Concealed-work inspections and service pressure/leak tests</x:v>
      </x:c>
      <x:c r="C27" s="15" t="str">
        <x:v>BOQ section 1</x:v>
      </x:c>
      <x:c r="D27" s="22" t="n">
        <x:v>46510</x:v>
      </x:c>
      <x:c r="E27" s="22" t="n">
        <x:v>46520</x:v>
      </x:c>
      <x:c r="F27" s="15" t="n">
        <x:v>10</x:v>
      </x:c>
      <x:c r="G27" s="23" t="n">
        <x:f>IF($B$2&lt;D27,0,IF($B$2&gt;=E27,100,MIN(100,($B$2-D27+1)/(E27-D27+1)*100)))</x:f>
        <x:v>100</x:v>
      </x:c>
      <x:c r="H27" s="23" t="n">
        <x:f>IF(ISNUMBER('Progress Report'!G18),'Progress Report'!G18,"")</x:f>
        <x:v>90</x:v>
      </x:c>
      <x:c r="I27" s="24" t="n">
        <x:f>IF(ISNUMBER(H27),H27-G27,"")</x:f>
        <x:v>-10</x:v>
      </x:c>
      <x:c r="J27" s="24" t="n">
        <x:f>IF(ISNUMBER(I27),ROUND(I27/100*F27,1),"")</x:f>
        <x:v>-1</x:v>
      </x:c>
      <x:c r="K27" s="15" t="str">
        <x:f>IF(ISNUMBER(H27),IF(I27&gt;5,"EARLY",IF(I27&lt;-5,"LATE","ON TIME")),"NOT REPORTED")</x:f>
        <x:v>LATE</x:v>
      </x:c>
      <x:c r="L27" s="15" t="str">
        <x:f>'Progress Report'!H18</x:f>
        <x:v>2027-06-30</x:v>
      </x:c>
    </x:row>
    <x:row r="28" ht="48" customHeight="1">
      <x:c r="A28" s="15" t="n">
        <x:v>15</x:v>
      </x:c>
      <x:c r="B28" s="15" t="str">
        <x:v>Internal/external plaster and concrete crack rehabilitation</x:v>
      </x:c>
      <x:c r="C28" s="15" t="str">
        <x:v>BOQ section 9</x:v>
      </x:c>
      <x:c r="D28" s="22" t="n">
        <x:v>46469</x:v>
      </x:c>
      <x:c r="E28" s="22" t="n">
        <x:v>46524</x:v>
      </x:c>
      <x:c r="F28" s="15" t="n">
        <x:v>40</x:v>
      </x:c>
      <x:c r="G28" s="23" t="n">
        <x:f>IF($B$2&lt;D28,0,IF($B$2&gt;=E28,100,MIN(100,($B$2-D28+1)/(E28-D28+1)*100)))</x:f>
        <x:v>100</x:v>
      </x:c>
      <x:c r="H28" s="23" t="n">
        <x:f>IF(ISNUMBER('Progress Report'!G19),'Progress Report'!G19,"")</x:f>
        <x:v>100</x:v>
      </x:c>
      <x:c r="I28" s="24" t="n">
        <x:f>IF(ISNUMBER(H28),H28-G28,"")</x:f>
        <x:v>0</x:v>
      </x:c>
      <x:c r="J28" s="24" t="n">
        <x:f>IF(ISNUMBER(I28),ROUND(I28/100*F28,1),"")</x:f>
        <x:v>0</x:v>
      </x:c>
      <x:c r="K28" s="15" t="str">
        <x:f>IF(ISNUMBER(H28),IF(I28&gt;5,"EARLY",IF(I28&lt;-5,"LATE","ON TIME")),"NOT REPORTED")</x:f>
        <x:v>ON TIME</x:v>
      </x:c>
      <x:c r="L28" s="15" t="str">
        <x:f>'Progress Report'!H19</x:f>
        <x:v>2027-06-30</x:v>
      </x:c>
    </x:row>
    <x:row r="29" ht="48" customHeight="1">
      <x:c r="A29" s="15" t="n">
        <x:v>16</x:v>
      </x:c>
      <x:c r="B29" s="15" t="str">
        <x:v>Wet area build-ups: first fix, screed, PU waterproofing and tests</x:v>
      </x:c>
      <x:c r="C29" s="15" t="str">
        <x:v>BOQ section 7; BOQ section 9; BOQ section 2</x:v>
      </x:c>
      <x:c r="D29" s="22" t="n">
        <x:v>46521</x:v>
      </x:c>
      <x:c r="E29" s="22" t="n">
        <x:v>46550</x:v>
      </x:c>
      <x:c r="F29" s="15" t="n">
        <x:v>25</x:v>
      </x:c>
      <x:c r="G29" s="23" t="n">
        <x:f>IF($B$2&lt;D29,0,IF($B$2&gt;=E29,100,MIN(100,($B$2-D29+1)/(E29-D29+1)*100)))</x:f>
        <x:v>100</x:v>
      </x:c>
      <x:c r="H29" s="23" t="n">
        <x:f>IF(ISNUMBER('Progress Report'!G20),'Progress Report'!G20,"")</x:f>
        <x:v>75</x:v>
      </x:c>
      <x:c r="I29" s="24" t="n">
        <x:f>IF(ISNUMBER(H29),H29-G29,"")</x:f>
        <x:v>-25</x:v>
      </x:c>
      <x:c r="J29" s="24" t="n">
        <x:f>IF(ISNUMBER(I29),ROUND(I29/100*F29,1),"")</x:f>
        <x:v>-6.2</x:v>
      </x:c>
      <x:c r="K29" s="15" t="str">
        <x:f>IF(ISNUMBER(H29),IF(I29&gt;5,"EARLY",IF(I29&lt;-5,"LATE","ON TIME")),"NOT REPORTED")</x:f>
        <x:v>LATE</x:v>
      </x:c>
      <x:c r="L29" s="15" t="str">
        <x:f>'Progress Report'!H20</x:f>
        <x:v>2027-06-30</x:v>
      </x:c>
    </x:row>
    <x:row r="30" ht="48" customHeight="1">
      <x:c r="A30" s="15" t="n">
        <x:v>17</x:v>
      </x:c>
      <x:c r="B30" s="15" t="str">
        <x:v>Ceilings grid and bulkheads, closure after inspections</x:v>
      </x:c>
      <x:c r="C30" s="15" t="str">
        <x:v>BOQ section 9</x:v>
      </x:c>
      <x:c r="D30" s="22" t="n">
        <x:v>46521</x:v>
      </x:c>
      <x:c r="E30" s="22" t="n">
        <x:v>46550</x:v>
      </x:c>
      <x:c r="F30" s="15" t="n">
        <x:v>25</x:v>
      </x:c>
      <x:c r="G30" s="23" t="n">
        <x:f>IF($B$2&lt;D30,0,IF($B$2&gt;=E30,100,MIN(100,($B$2-D30+1)/(E30-D30+1)*100)))</x:f>
        <x:v>100</x:v>
      </x:c>
      <x:c r="H30" s="23" t="n">
        <x:f>IF(ISNUMBER('Progress Report'!G21),'Progress Report'!G21,"")</x:f>
        <x:v>100</x:v>
      </x:c>
      <x:c r="I30" s="24" t="n">
        <x:f>IF(ISNUMBER(H30),H30-G30,"")</x:f>
        <x:v>0</x:v>
      </x:c>
      <x:c r="J30" s="24" t="n">
        <x:f>IF(ISNUMBER(I30),ROUND(I30/100*F30,1),"")</x:f>
        <x:v>0</x:v>
      </x:c>
      <x:c r="K30" s="15" t="str">
        <x:f>IF(ISNUMBER(H30),IF(I30&gt;5,"EARLY",IF(I30&lt;-5,"LATE","ON TIME")),"NOT REPORTED")</x:f>
        <x:v>ON TIME</x:v>
      </x:c>
      <x:c r="L30" s="15" t="str">
        <x:f>'Progress Report'!H21</x:f>
        <x:v>2027-06-30</x:v>
      </x:c>
    </x:row>
    <x:row r="31" ht="48" customHeight="1">
      <x:c r="A31" s="15" t="n">
        <x:v>18</x:v>
      </x:c>
      <x:c r="B31" s="15" t="str">
        <x:v>Floor and wall finishes including tiles, skirtings, thresholds, terrazzo and epoxy</x:v>
      </x:c>
      <x:c r="C31" s="15" t="str">
        <x:v>BOQ section 9</x:v>
      </x:c>
      <x:c r="D31" s="22" t="n">
        <x:v>46551</x:v>
      </x:c>
      <x:c r="E31" s="22" t="n">
        <x:v>46595</x:v>
      </x:c>
      <x:c r="F31" s="15" t="n">
        <x:v>45</x:v>
      </x:c>
      <x:c r="G31" s="23" t="n">
        <x:f>IF($B$2&lt;D31,0,IF($B$2&gt;=E31,100,MIN(100,($B$2-D31+1)/(E31-D31+1)*100)))</x:f>
        <x:v>40</x:v>
      </x:c>
      <x:c r="H31" s="23" t="n">
        <x:f>IF(ISNUMBER('Progress Report'!G22),'Progress Report'!G22,"")</x:f>
        <x:v>55</x:v>
      </x:c>
      <x:c r="I31" s="24" t="n">
        <x:f>IF(ISNUMBER(H31),H31-G31,"")</x:f>
        <x:v>15</x:v>
      </x:c>
      <x:c r="J31" s="24" t="n">
        <x:f>IF(ISNUMBER(I31),ROUND(I31/100*F31,1),"")</x:f>
        <x:v>6.8</x:v>
      </x:c>
      <x:c r="K31" s="15" t="str">
        <x:f>IF(ISNUMBER(H31),IF(I31&gt;5,"EARLY",IF(I31&lt;-5,"LATE","ON TIME")),"NOT REPORTED")</x:f>
        <x:v>EARLY</x:v>
      </x:c>
      <x:c r="L31" s="15" t="str">
        <x:f>'Progress Report'!H22</x:f>
        <x:v>2027-06-30</x:v>
      </x:c>
    </x:row>
    <x:row r="32" ht="48" customHeight="1">
      <x:c r="A32" s="15" t="n">
        <x:v>19</x:v>
      </x:c>
      <x:c r="B32" s="15" t="str">
        <x:v>External metallic structures, handrails, ladders, sheets and shed</x:v>
      </x:c>
      <x:c r="C32" s="15" t="str">
        <x:v>BOQ section 5</x:v>
      </x:c>
      <x:c r="D32" s="22" t="n">
        <x:v>46479</x:v>
      </x:c>
      <x:c r="E32" s="22" t="n">
        <x:v>46523</x:v>
      </x:c>
      <x:c r="F32" s="15" t="n">
        <x:v>35</x:v>
      </x:c>
      <x:c r="G32" s="23" t="n">
        <x:f>IF($B$2&lt;D32,0,IF($B$2&gt;=E32,100,MIN(100,($B$2-D32+1)/(E32-D32+1)*100)))</x:f>
        <x:v>100</x:v>
      </x:c>
      <x:c r="H32" s="23" t="n">
        <x:f>IF(ISNUMBER('Progress Report'!G23),'Progress Report'!G23,"")</x:f>
        <x:v>90</x:v>
      </x:c>
      <x:c r="I32" s="24" t="n">
        <x:f>IF(ISNUMBER(H32),H32-G32,"")</x:f>
        <x:v>-10</x:v>
      </x:c>
      <x:c r="J32" s="24" t="n">
        <x:f>IF(ISNUMBER(I32),ROUND(I32/100*F32,1),"")</x:f>
        <x:v>-3.5</x:v>
      </x:c>
      <x:c r="K32" s="15" t="str">
        <x:f>IF(ISNUMBER(H32),IF(I32&gt;5,"EARLY",IF(I32&lt;-5,"LATE","ON TIME")),"NOT REPORTED")</x:f>
        <x:v>LATE</x:v>
      </x:c>
      <x:c r="L32" s="15" t="str">
        <x:f>'Progress Report'!H23</x:f>
        <x:v>2027-06-30</x:v>
      </x:c>
    </x:row>
    <x:row r="33" ht="48" customHeight="1">
      <x:c r="A33" s="15" t="n">
        <x:v>20</x:v>
      </x:c>
      <x:c r="B33" s="15" t="str">
        <x:v>Glazing, curtain walls, doors and windows installation</x:v>
      </x:c>
      <x:c r="C33" s="15" t="str">
        <x:v>BOQ section 8</x:v>
      </x:c>
      <x:c r="D33" s="22" t="n">
        <x:v>46541</x:v>
      </x:c>
      <x:c r="E33" s="22" t="n">
        <x:v>46567</x:v>
      </x:c>
      <x:c r="F33" s="15" t="n">
        <x:v>25</x:v>
      </x:c>
      <x:c r="G33" s="23" t="n">
        <x:f>IF($B$2&lt;D33,0,IF($B$2&gt;=E33,100,MIN(100,($B$2-D33+1)/(E33-D33+1)*100)))</x:f>
        <x:v>100</x:v>
      </x:c>
      <x:c r="H33" s="23" t="n">
        <x:f>IF(ISNUMBER('Progress Report'!G24),'Progress Report'!G24,"")</x:f>
        <x:v>100</x:v>
      </x:c>
      <x:c r="I33" s="24" t="n">
        <x:f>IF(ISNUMBER(H33),H33-G33,"")</x:f>
        <x:v>0</x:v>
      </x:c>
      <x:c r="J33" s="24" t="n">
        <x:f>IF(ISNUMBER(I33),ROUND(I33/100*F33,1),"")</x:f>
        <x:v>0</x:v>
      </x:c>
      <x:c r="K33" s="15" t="str">
        <x:f>IF(ISNUMBER(H33),IF(I33&gt;5,"EARLY",IF(I33&lt;-5,"LATE","ON TIME")),"NOT REPORTED")</x:f>
        <x:v>ON TIME</x:v>
      </x:c>
      <x:c r="L33" s="15" t="str">
        <x:f>'Progress Report'!H24</x:f>
        <x:v>2027-06-30</x:v>
      </x:c>
    </x:row>
    <x:row r="34" ht="48" customHeight="1">
      <x:c r="A34" s="15" t="n">
        <x:v>21</x:v>
      </x:c>
      <x:c r="B34" s="15" t="str">
        <x:v>Painting internal and external including fair-faced coatings</x:v>
      </x:c>
      <x:c r="C34" s="15" t="str">
        <x:v>BOQ section 9</x:v>
      </x:c>
      <x:c r="D34" s="22" t="n">
        <x:v>46569</x:v>
      </x:c>
      <x:c r="E34" s="22" t="n">
        <x:v>46599</x:v>
      </x:c>
      <x:c r="F34" s="15" t="n">
        <x:v>30</x:v>
      </x:c>
      <x:c r="G34" s="23" t="n">
        <x:f>IF($B$2&lt;D34,0,IF($B$2&gt;=E34,100,MIN(100,($B$2-D34+1)/(E34-D34+1)*100)))</x:f>
        <x:v>0</x:v>
      </x:c>
      <x:c r="H34" s="23" t="n">
        <x:f>IF(ISNUMBER('Progress Report'!G25),'Progress Report'!G25,"")</x:f>
        <x:v>0</x:v>
      </x:c>
      <x:c r="I34" s="24" t="n">
        <x:f>IF(ISNUMBER(H34),H34-G34,"")</x:f>
        <x:v>0</x:v>
      </x:c>
      <x:c r="J34" s="24" t="n">
        <x:f>IF(ISNUMBER(I34),ROUND(I34/100*F34,1),"")</x:f>
        <x:v>0</x:v>
      </x:c>
      <x:c r="K34" s="15" t="str">
        <x:f>IF(ISNUMBER(H34),IF(I34&gt;5,"EARLY",IF(I34&lt;-5,"LATE","ON TIME")),"NOT REPORTED")</x:f>
        <x:v>ON TIME</x:v>
      </x:c>
      <x:c r="L34" s="15" t="str">
        <x:f>'Progress Report'!H25</x:f>
        <x:v>2027-06-30</x:v>
      </x:c>
    </x:row>
    <x:row r="35" ht="48" customHeight="1">
      <x:c r="A35" s="15" t="n">
        <x:v>22</x:v>
      </x:c>
      <x:c r="B35" s="15" t="str">
        <x:v>Electrical second fix: devices, luminaires and cabling terminations</x:v>
      </x:c>
      <x:c r="C35" s="15" t="str">
        <x:v>BOQ section 4; BOQ section 5; BOQ section 15</x:v>
      </x:c>
      <x:c r="D35" s="22" t="n">
        <x:v>46583</x:v>
      </x:c>
      <x:c r="E35" s="22" t="n">
        <x:v>46612</x:v>
      </x:c>
      <x:c r="F35" s="15" t="n">
        <x:v>30</x:v>
      </x:c>
      <x:c r="G35" s="23" t="n">
        <x:f>IF($B$2&lt;D35,0,IF($B$2&gt;=E35,100,MIN(100,($B$2-D35+1)/(E35-D35+1)*100)))</x:f>
        <x:v>0</x:v>
      </x:c>
      <x:c r="H35" s="23" t="n">
        <x:f>IF(ISNUMBER('Progress Report'!G26),'Progress Report'!G26,"")</x:f>
        <x:v>0</x:v>
      </x:c>
      <x:c r="I35" s="24" t="n">
        <x:f>IF(ISNUMBER(H35),H35-G35,"")</x:f>
        <x:v>0</x:v>
      </x:c>
      <x:c r="J35" s="24" t="n">
        <x:f>IF(ISNUMBER(I35),ROUND(I35/100*F35,1),"")</x:f>
        <x:v>0</x:v>
      </x:c>
      <x:c r="K35" s="15" t="str">
        <x:f>IF(ISNUMBER(H35),IF(I35&gt;5,"EARLY",IF(I35&lt;-5,"LATE","ON TIME")),"NOT REPORTED")</x:f>
        <x:v>ON TIME</x:v>
      </x:c>
      <x:c r="L35" s="15" t="str">
        <x:f>'Progress Report'!H26</x:f>
        <x:v>2027-06-30</x:v>
      </x:c>
    </x:row>
    <x:row r="36" ht="48" customHeight="1">
      <x:c r="A36" s="15" t="n">
        <x:v>23</x:v>
      </x:c>
      <x:c r="B36" s="15" t="str">
        <x:v>Plumbing and sanitary second fix including fixtures and accessories</x:v>
      </x:c>
      <x:c r="C36" s="15" t="str">
        <x:v>BOQ section 10; BOQ section 4</x:v>
      </x:c>
      <x:c r="D36" s="22" t="n">
        <x:v>46596</x:v>
      </x:c>
      <x:c r="E36" s="22" t="n">
        <x:v>46618</x:v>
      </x:c>
      <x:c r="F36" s="15" t="n">
        <x:v>20</x:v>
      </x:c>
      <x:c r="G36" s="23" t="n">
        <x:f>IF($B$2&lt;D36,0,IF($B$2&gt;=E36,100,MIN(100,($B$2-D36+1)/(E36-D36+1)*100)))</x:f>
        <x:v>0</x:v>
      </x:c>
      <x:c r="H36" s="23" t="n">
        <x:f>IF(ISNUMBER('Progress Report'!G27),'Progress Report'!G27,"")</x:f>
        <x:v>0</x:v>
      </x:c>
      <x:c r="I36" s="24" t="n">
        <x:f>IF(ISNUMBER(H36),H36-G36,"")</x:f>
        <x:v>0</x:v>
      </x:c>
      <x:c r="J36" s="24" t="n">
        <x:f>IF(ISNUMBER(I36),ROUND(I36/100*F36,1),"")</x:f>
        <x:v>0</x:v>
      </x:c>
      <x:c r="K36" s="15" t="str">
        <x:f>IF(ISNUMBER(H36),IF(I36&gt;5,"EARLY",IF(I36&lt;-5,"LATE","ON TIME")),"NOT REPORTED")</x:f>
        <x:v>ON TIME</x:v>
      </x:c>
      <x:c r="L36" s="15" t="str">
        <x:f>'Progress Report'!H27</x:f>
        <x:v>2027-06-30</x:v>
      </x:c>
    </x:row>
    <x:row r="37" ht="48" customHeight="1">
      <x:c r="A37" s="15" t="n">
        <x:v>24</x:v>
      </x:c>
      <x:c r="B37" s="15" t="str">
        <x:v>Low current systems installation, terminations and testing (CCTV, ICT, TV)</x:v>
      </x:c>
      <x:c r="C37" s="15" t="str">
        <x:v>BOQ section 9; BOQ section 13; BOQ section 14</x:v>
      </x:c>
      <x:c r="D37" s="22" t="n">
        <x:v>46613</x:v>
      </x:c>
      <x:c r="E37" s="22" t="n">
        <x:v>46642</x:v>
      </x:c>
      <x:c r="F37" s="15" t="n">
        <x:v>25</x:v>
      </x:c>
      <x:c r="G37" s="23" t="n">
        <x:f>IF($B$2&lt;D37,0,IF($B$2&gt;=E37,100,MIN(100,($B$2-D37+1)/(E37-D37+1)*100)))</x:f>
        <x:v>0</x:v>
      </x:c>
      <x:c r="H37" s="23" t="n">
        <x:f>IF(ISNUMBER('Progress Report'!G28),'Progress Report'!G28,"")</x:f>
        <x:v>0</x:v>
      </x:c>
      <x:c r="I37" s="24" t="n">
        <x:f>IF(ISNUMBER(H37),H37-G37,"")</x:f>
        <x:v>0</x:v>
      </x:c>
      <x:c r="J37" s="24" t="n">
        <x:f>IF(ISNUMBER(I37),ROUND(I37/100*F37,1),"")</x:f>
        <x:v>0</x:v>
      </x:c>
      <x:c r="K37" s="15" t="str">
        <x:f>IF(ISNUMBER(H37),IF(I37&gt;5,"EARLY",IF(I37&lt;-5,"LATE","ON TIME")),"NOT REPORTED")</x:f>
        <x:v>ON TIME</x:v>
      </x:c>
      <x:c r="L37" s="15" t="str">
        <x:f>'Progress Report'!H28</x:f>
        <x:v>2027-06-30</x:v>
      </x:c>
    </x:row>
    <x:row r="38" ht="48" customHeight="1">
      <x:c r="A38" s="15" t="n">
        <x:v>25</x:v>
      </x:c>
      <x:c r="B38" s="15" t="str">
        <x:v>PV system, inverter, battery and cabling installation</x:v>
      </x:c>
      <x:c r="C38" s="15" t="str">
        <x:v>BOQ section 8</x:v>
      </x:c>
      <x:c r="D38" s="22" t="n">
        <x:v>46619</x:v>
      </x:c>
      <x:c r="E38" s="22" t="n">
        <x:v>46646</x:v>
      </x:c>
      <x:c r="F38" s="15" t="n">
        <x:v>20</x:v>
      </x:c>
      <x:c r="G38" s="23" t="n">
        <x:f>IF($B$2&lt;D38,0,IF($B$2&gt;=E38,100,MIN(100,($B$2-D38+1)/(E38-D38+1)*100)))</x:f>
        <x:v>0</x:v>
      </x:c>
      <x:c r="H38" s="23" t="n">
        <x:f>IF(ISNUMBER('Progress Report'!G29),'Progress Report'!G29,"")</x:f>
        <x:v>0</x:v>
      </x:c>
      <x:c r="I38" s="24" t="n">
        <x:f>IF(ISNUMBER(H38),H38-G38,"")</x:f>
        <x:v>0</x:v>
      </x:c>
      <x:c r="J38" s="24" t="n">
        <x:f>IF(ISNUMBER(I38),ROUND(I38/100*F38,1),"")</x:f>
        <x:v>0</x:v>
      </x:c>
      <x:c r="K38" s="15" t="str">
        <x:f>IF(ISNUMBER(H38),IF(I38&gt;5,"EARLY",IF(I38&lt;-5,"LATE","ON TIME")),"NOT REPORTED")</x:f>
        <x:v>ON TIME</x:v>
      </x:c>
      <x:c r="L38" s="15" t="str">
        <x:f>'Progress Report'!H29</x:f>
        <x:v>2027-06-30</x:v>
      </x:c>
    </x:row>
    <x:row r="39" ht="48" customHeight="1">
      <x:c r="A39" s="15" t="n">
        <x:v>26</x:v>
      </x:c>
      <x:c r="B39" s="15" t="str">
        <x:v>Power systems energization: generator install/relocate, UPS and ATS integration</x:v>
      </x:c>
      <x:c r="C39" s="15" t="str">
        <x:v>BOQ section 2; BOQ section 10; BOQ section 12</x:v>
      </x:c>
      <x:c r="D39" s="22" t="n">
        <x:v>46632</x:v>
      </x:c>
      <x:c r="E39" s="22" t="n">
        <x:v>46659</x:v>
      </x:c>
      <x:c r="F39" s="15" t="n">
        <x:v>20</x:v>
      </x:c>
      <x:c r="G39" s="23" t="n">
        <x:f>IF($B$2&lt;D39,0,IF($B$2&gt;=E39,100,MIN(100,($B$2-D39+1)/(E39-D39+1)*100)))</x:f>
        <x:v>0</x:v>
      </x:c>
      <x:c r="H39" s="23" t="n">
        <x:f>IF(ISNUMBER('Progress Report'!G30),'Progress Report'!G30,"")</x:f>
        <x:v>0</x:v>
      </x:c>
      <x:c r="I39" s="24" t="n">
        <x:f>IF(ISNUMBER(H39),H39-G39,"")</x:f>
        <x:v>0</x:v>
      </x:c>
      <x:c r="J39" s="24" t="n">
        <x:f>IF(ISNUMBER(I39),ROUND(I39/100*F39,1),"")</x:f>
        <x:v>0</x:v>
      </x:c>
      <x:c r="K39" s="15" t="str">
        <x:f>IF(ISNUMBER(H39),IF(I39&gt;5,"EARLY",IF(I39&lt;-5,"LATE","ON TIME")),"NOT REPORTED")</x:f>
        <x:v>ON TIME</x:v>
      </x:c>
      <x:c r="L39" s="15" t="str">
        <x:f>'Progress Report'!H30</x:f>
        <x:v>2027-06-30</x:v>
      </x:c>
    </x:row>
    <x:row r="40" ht="48" customHeight="1">
      <x:c r="A40" s="15" t="n">
        <x:v>27</x:v>
      </x:c>
      <x:c r="B40" s="15" t="str">
        <x:v>Lift installation and commissioning</x:v>
      </x:c>
      <x:c r="C40" s="15" t="str">
        <x:v>BOQ section 4; BOQ section 16</x:v>
      </x:c>
      <x:c r="D40" s="22" t="n">
        <x:v>46600</x:v>
      </x:c>
      <x:c r="E40" s="22" t="n">
        <x:v>46656</x:v>
      </x:c>
      <x:c r="F40" s="15" t="n">
        <x:v>40</x:v>
      </x:c>
      <x:c r="G40" s="23" t="n">
        <x:f>IF($B$2&lt;D40,0,IF($B$2&gt;=E40,100,MIN(100,($B$2-D40+1)/(E40-D40+1)*100)))</x:f>
        <x:v>0</x:v>
      </x:c>
      <x:c r="H40" s="23" t="n">
        <x:f>IF(ISNUMBER('Progress Report'!G31),'Progress Report'!G31,"")</x:f>
        <x:v>0</x:v>
      </x:c>
      <x:c r="I40" s="24" t="n">
        <x:f>IF(ISNUMBER(H40),H40-G40,"")</x:f>
        <x:v>0</x:v>
      </x:c>
      <x:c r="J40" s="24" t="n">
        <x:f>IF(ISNUMBER(I40),ROUND(I40/100*F40,1),"")</x:f>
        <x:v>0</x:v>
      </x:c>
      <x:c r="K40" s="15" t="str">
        <x:f>IF(ISNUMBER(H40),IF(I40&gt;5,"EARLY",IF(I40&lt;-5,"LATE","ON TIME")),"NOT REPORTED")</x:f>
        <x:v>ON TIME</x:v>
      </x:c>
      <x:c r="L40" s="15" t="str">
        <x:f>'Progress Report'!H31</x:f>
        <x:v>2027-06-30</x:v>
      </x:c>
    </x:row>
    <x:row r="41" ht="48" customHeight="1">
      <x:c r="A41" s="15" t="n">
        <x:v>28</x:v>
      </x:c>
      <x:c r="B41" s="15" t="str">
        <x:v>Joinery and casework installation and waste bins</x:v>
      </x:c>
      <x:c r="C41" s="15" t="str">
        <x:v>BOQ section 12</x:v>
      </x:c>
      <x:c r="D41" s="22" t="n">
        <x:v>46597</x:v>
      </x:c>
      <x:c r="E41" s="22" t="n">
        <x:v>46613</x:v>
      </x:c>
      <x:c r="F41" s="15" t="n">
        <x:v>15</x:v>
      </x:c>
      <x:c r="G41" s="23" t="n">
        <x:f>IF($B$2&lt;D41,0,IF($B$2&gt;=E41,100,MIN(100,($B$2-D41+1)/(E41-D41+1)*100)))</x:f>
        <x:v>0</x:v>
      </x:c>
      <x:c r="H41" s="23" t="n">
        <x:f>IF(ISNUMBER('Progress Report'!G32),'Progress Report'!G32,"")</x:f>
        <x:v>0</x:v>
      </x:c>
      <x:c r="I41" s="24" t="n">
        <x:f>IF(ISNUMBER(H41),H41-G41,"")</x:f>
        <x:v>0</x:v>
      </x:c>
      <x:c r="J41" s="24" t="n">
        <x:f>IF(ISNUMBER(I41),ROUND(I41/100*F41,1),"")</x:f>
        <x:v>0</x:v>
      </x:c>
      <x:c r="K41" s="15" t="str">
        <x:f>IF(ISNUMBER(H41),IF(I41&gt;5,"EARLY",IF(I41&lt;-5,"LATE","ON TIME")),"NOT REPORTED")</x:f>
        <x:v>ON TIME</x:v>
      </x:c>
      <x:c r="L41" s="15" t="str">
        <x:f>'Progress Report'!H32</x:f>
        <x:v>2027-06-30</x:v>
      </x:c>
    </x:row>
    <x:row r="42" ht="48" customHeight="1">
      <x:c r="A42" s="15" t="n">
        <x:v>29</x:v>
      </x:c>
      <x:c r="B42" s="15" t="str">
        <x:v>Facade protective coatings completion and external works tie-ins</x:v>
      </x:c>
      <x:c r="C42" s="15" t="str">
        <x:v>BOQ section 9</x:v>
      </x:c>
      <x:c r="D42" s="22" t="n">
        <x:v>46590</x:v>
      </x:c>
      <x:c r="E42" s="22" t="n">
        <x:v>46600</x:v>
      </x:c>
      <x:c r="F42" s="15" t="n">
        <x:v>10</x:v>
      </x:c>
      <x:c r="G42" s="23" t="n">
        <x:f>IF($B$2&lt;D42,0,IF($B$2&gt;=E42,100,MIN(100,($B$2-D42+1)/(E42-D42+1)*100)))</x:f>
        <x:v>0</x:v>
      </x:c>
      <x:c r="H42" s="23" t="n">
        <x:f>IF(ISNUMBER('Progress Report'!G33),'Progress Report'!G33,"")</x:f>
        <x:v>0</x:v>
      </x:c>
      <x:c r="I42" s="24" t="n">
        <x:f>IF(ISNUMBER(H42),H42-G42,"")</x:f>
        <x:v>0</x:v>
      </x:c>
      <x:c r="J42" s="24" t="n">
        <x:f>IF(ISNUMBER(I42),ROUND(I42/100*F42,1),"")</x:f>
        <x:v>0</x:v>
      </x:c>
      <x:c r="K42" s="15" t="str">
        <x:f>IF(ISNUMBER(H42),IF(I42&gt;5,"EARLY",IF(I42&lt;-5,"LATE","ON TIME")),"NOT REPORTED")</x:f>
        <x:v>ON TIME</x:v>
      </x:c>
      <x:c r="L42" s="15" t="str">
        <x:f>'Progress Report'!H33</x:f>
        <x:v>2027-06-30</x:v>
      </x:c>
    </x:row>
    <x:row r="43" ht="48" customHeight="1">
      <x:c r="A43" s="15" t="n">
        <x:v>30</x:v>
      </x:c>
      <x:c r="B43" s="15" t="str">
        <x:v>Systems pre-commissioning, testing and training</x:v>
      </x:c>
      <x:c r="C43" s="15" t="str">
        <x:v>BOQ section 1</x:v>
      </x:c>
      <x:c r="D43" s="22" t="n">
        <x:v>46660</x:v>
      </x:c>
      <x:c r="E43" s="22" t="n">
        <x:v>46687</x:v>
      </x:c>
      <x:c r="F43" s="15" t="n">
        <x:v>20</x:v>
      </x:c>
      <x:c r="G43" s="23" t="n">
        <x:f>IF($B$2&lt;D43,0,IF($B$2&gt;=E43,100,MIN(100,($B$2-D43+1)/(E43-D43+1)*100)))</x:f>
        <x:v>0</x:v>
      </x:c>
      <x:c r="H43" s="23" t="n">
        <x:f>IF(ISNUMBER('Progress Report'!G34),'Progress Report'!G34,"")</x:f>
        <x:v>0</x:v>
      </x:c>
      <x:c r="I43" s="24" t="n">
        <x:f>IF(ISNUMBER(H43),H43-G43,"")</x:f>
        <x:v>0</x:v>
      </x:c>
      <x:c r="J43" s="24" t="n">
        <x:f>IF(ISNUMBER(I43),ROUND(I43/100*F43,1),"")</x:f>
        <x:v>0</x:v>
      </x:c>
      <x:c r="K43" s="15" t="str">
        <x:f>IF(ISNUMBER(H43),IF(I43&gt;5,"EARLY",IF(I43&lt;-5,"LATE","ON TIME")),"NOT REPORTED")</x:f>
        <x:v>ON TIME</x:v>
      </x:c>
      <x:c r="L43" s="15" t="str">
        <x:f>'Progress Report'!H34</x:f>
        <x:v>2027-06-30</x:v>
      </x:c>
    </x:row>
    <x:row r="44" ht="48" customHeight="1">
      <x:c r="A44" s="15" t="n">
        <x:v>31</x:v>
      </x:c>
      <x:c r="B44" s="15" t="str">
        <x:v>Fire alarm and firefighting commissioning and integration tests</x:v>
      </x:c>
      <x:c r="C44" s="15" t="str">
        <x:v>BOQ section 6; BOQ section 11</x:v>
      </x:c>
      <x:c r="D44" s="22" t="n">
        <x:v>46619</x:v>
      </x:c>
      <x:c r="E44" s="22" t="n">
        <x:v>46639</x:v>
      </x:c>
      <x:c r="F44" s="15" t="n">
        <x:v>15</x:v>
      </x:c>
      <x:c r="G44" s="23" t="n">
        <x:f>IF($B$2&lt;D44,0,IF($B$2&gt;=E44,100,MIN(100,($B$2-D44+1)/(E44-D44+1)*100)))</x:f>
        <x:v>0</x:v>
      </x:c>
      <x:c r="H44" s="23" t="n">
        <x:f>IF(ISNUMBER('Progress Report'!G35),'Progress Report'!G35,"")</x:f>
        <x:v>0</x:v>
      </x:c>
      <x:c r="I44" s="24" t="n">
        <x:f>IF(ISNUMBER(H44),H44-G44,"")</x:f>
        <x:v>0</x:v>
      </x:c>
      <x:c r="J44" s="24" t="n">
        <x:f>IF(ISNUMBER(I44),ROUND(I44/100*F44,1),"")</x:f>
        <x:v>0</x:v>
      </x:c>
      <x:c r="K44" s="15" t="str">
        <x:f>IF(ISNUMBER(H44),IF(I44&gt;5,"EARLY",IF(I44&lt;-5,"LATE","ON TIME")),"NOT REPORTED")</x:f>
        <x:v>ON TIME</x:v>
      </x:c>
      <x:c r="L44" s="15" t="str">
        <x:f>'Progress Report'!H35</x:f>
        <x:v>2027-06-30</x:v>
      </x:c>
    </x:row>
    <x:row r="45" ht="48" customHeight="1">
      <x:c r="A45" s="15" t="n">
        <x:v>32</x:v>
      </x:c>
      <x:c r="B45" s="15" t="str">
        <x:v>As-built documentation, O&amp;M manuals and final approvals</x:v>
      </x:c>
      <x:c r="C45" s="15" t="str">
        <x:v>BOQ section 1</x:v>
      </x:c>
      <x:c r="D45" s="22" t="n">
        <x:v>46688</x:v>
      </x:c>
      <x:c r="E45" s="22" t="n">
        <x:v>46715</x:v>
      </x:c>
      <x:c r="F45" s="15" t="n">
        <x:v>20</x:v>
      </x:c>
      <x:c r="G45" s="23" t="n">
        <x:f>IF($B$2&lt;D45,0,IF($B$2&gt;=E45,100,MIN(100,($B$2-D45+1)/(E45-D45+1)*100)))</x:f>
        <x:v>0</x:v>
      </x:c>
      <x:c r="H45" s="23" t="n">
        <x:f>IF(ISNUMBER('Progress Report'!G36),'Progress Report'!G36,"")</x:f>
        <x:v>0</x:v>
      </x:c>
      <x:c r="I45" s="24" t="n">
        <x:f>IF(ISNUMBER(H45),H45-G45,"")</x:f>
        <x:v>0</x:v>
      </x:c>
      <x:c r="J45" s="24" t="n">
        <x:f>IF(ISNUMBER(I45),ROUND(I45/100*F45,1),"")</x:f>
        <x:v>0</x:v>
      </x:c>
      <x:c r="K45" s="15" t="str">
        <x:f>IF(ISNUMBER(H45),IF(I45&gt;5,"EARLY",IF(I45&lt;-5,"LATE","ON TIME")),"NOT REPORTED")</x:f>
        <x:v>ON TIME</x:v>
      </x:c>
      <x:c r="L45" s="15" t="str">
        <x:f>'Progress Report'!H36</x:f>
        <x:v>2027-06-30</x:v>
      </x:c>
    </x:row>
    <x:row r="46" ht="48" customHeight="1">
      <x:c r="A46" s="15" t="n">
        <x:v>33</x:v>
      </x:c>
      <x:c r="B46" s="15" t="str">
        <x:v>Handover, snagging and demobilization</x:v>
      </x:c>
      <x:c r="C46" s="15" t="str">
        <x:v>BOQ section 1</x:v>
      </x:c>
      <x:c r="D46" s="22" t="n">
        <x:v>46716</x:v>
      </x:c>
      <x:c r="E46" s="22" t="n">
        <x:v>46728</x:v>
      </x:c>
      <x:c r="F46" s="15" t="n">
        <x:v>12</x:v>
      </x:c>
      <x:c r="G46" s="23" t="n">
        <x:f>IF($B$2&lt;D46,0,IF($B$2&gt;=E46,100,MIN(100,($B$2-D46+1)/(E46-D46+1)*100)))</x:f>
        <x:v>0</x:v>
      </x:c>
      <x:c r="H46" s="23" t="n">
        <x:f>IF(ISNUMBER('Progress Report'!G37),'Progress Report'!G37,"")</x:f>
        <x:v>0</x:v>
      </x:c>
      <x:c r="I46" s="24" t="n">
        <x:f>IF(ISNUMBER(H46),H46-G46,"")</x:f>
        <x:v>0</x:v>
      </x:c>
      <x:c r="J46" s="24" t="n">
        <x:f>IF(ISNUMBER(I46),ROUND(I46/100*F46,1),"")</x:f>
        <x:v>0</x:v>
      </x:c>
      <x:c r="K46" s="15" t="str">
        <x:f>IF(ISNUMBER(H46),IF(I46&gt;5,"EARLY",IF(I46&lt;-5,"LATE","ON TIME")),"NOT REPORTED")</x:f>
        <x:v>ON TIME</x:v>
      </x:c>
      <x:c r="L46" s="15" t="str">
        <x:f>'Progress Report'!H37</x:f>
        <x:v>2027-06-30</x:v>
      </x:c>
    </x:row>
    <x:row r="47" ht="48" customHeight="1">
      <x:c r="A47" s="15" t="n">
        <x:v>34</x:v>
      </x:c>
      <x:c r="B47" s="15" t="str">
        <x:v>Access and commissioning logistics, authority interfaces</x:v>
      </x:c>
      <x:c r="C47" s="15" t="str">
        <x:v>BOQ section 1</x:v>
      </x:c>
      <x:c r="D47" s="22" t="n">
        <x:v>46640</x:v>
      </x:c>
      <x:c r="E47" s="22" t="n">
        <x:v>46651</x:v>
      </x:c>
      <x:c r="F47" s="15" t="n">
        <x:v>10</x:v>
      </x:c>
      <x:c r="G47" s="23" t="n">
        <x:f>IF($B$2&lt;D47,0,IF($B$2&gt;=E47,100,MIN(100,($B$2-D47+1)/(E47-D47+1)*100)))</x:f>
        <x:v>0</x:v>
      </x:c>
      <x:c r="H47" s="23" t="n">
        <x:f>IF(ISNUMBER('Progress Report'!G38),'Progress Report'!G38,"")</x:f>
        <x:v>0</x:v>
      </x:c>
      <x:c r="I47" s="24" t="n">
        <x:f>IF(ISNUMBER(H47),H47-G47,"")</x:f>
        <x:v>0</x:v>
      </x:c>
      <x:c r="J47" s="24" t="n">
        <x:f>IF(ISNUMBER(I47),ROUND(I47/100*F47,1),"")</x:f>
        <x:v>0</x:v>
      </x:c>
      <x:c r="K47" s="15" t="str">
        <x:f>IF(ISNUMBER(H47),IF(I47&gt;5,"EARLY",IF(I47&lt;-5,"LATE","ON TIME")),"NOT REPORTED")</x:f>
        <x:v>ON TIME</x:v>
      </x:c>
      <x:c r="L47" s="15" t="str">
        <x:f>'Progress Report'!H38</x:f>
        <x:v>2027-06-30</x:v>
      </x:c>
    </x:row>
    <x:row r="48" ht="48" customHeight="1">
      <x:c r="A48" s="15" t="n">
        <x:v>35</x:v>
      </x:c>
      <x:c r="B48" s="15" t="str">
        <x:v>Project environmental closeout and waste management finalization</x:v>
      </x:c>
      <x:c r="C48" s="15" t="str">
        <x:v>BOQ section 1</x:v>
      </x:c>
      <x:c r="D48" s="22" t="n">
        <x:v>46729</x:v>
      </x:c>
      <x:c r="E48" s="22" t="n">
        <x:v>46733</x:v>
      </x:c>
      <x:c r="F48" s="15" t="n">
        <x:v>5</x:v>
      </x:c>
      <x:c r="G48" s="23" t="n">
        <x:f>IF($B$2&lt;D48,0,IF($B$2&gt;=E48,100,MIN(100,($B$2-D48+1)/(E48-D48+1)*100)))</x:f>
        <x:v>0</x:v>
      </x:c>
      <x:c r="H48" s="23" t="n">
        <x:f>IF(ISNUMBER('Progress Report'!G39),'Progress Report'!G39,"")</x:f>
        <x:v>0</x:v>
      </x:c>
      <x:c r="I48" s="24" t="n">
        <x:f>IF(ISNUMBER(H48),H48-G48,"")</x:f>
        <x:v>0</x:v>
      </x:c>
      <x:c r="J48" s="24" t="n">
        <x:f>IF(ISNUMBER(I48),ROUND(I48/100*F48,1),"")</x:f>
        <x:v>0</x:v>
      </x:c>
      <x:c r="K48" s="15" t="str">
        <x:f>IF(ISNUMBER(H48),IF(I48&gt;5,"EARLY",IF(I48&lt;-5,"LATE","ON TIME")),"NOT REPORTED")</x:f>
        <x:v>ON TIME</x:v>
      </x:c>
      <x:c r="L48" s="15" t="str">
        <x:f>'Progress Report'!H39</x:f>
        <x:v>2027-06-30</x:v>
      </x:c>
    </x:row>
  </x:sheetData>
  <x:mergeCells>
    <x:mergeCell ref="A1:L1"/>
    <x:mergeCell ref="A3:L3"/>
    <x:mergeCell ref="A4:L4"/>
    <x:mergeCell ref="D6:L6"/>
    <x:mergeCell ref="D7:L7"/>
    <x:mergeCell ref="D8:L8"/>
  </x:mergeCells>
  <x:conditionalFormatting sqref="K14:K48">
    <x:cfRule type="containsText" dxfId="0" priority="1" operator="containsText" text="LATE"/>
    <x:cfRule type="containsText" dxfId="1" priority="2" operator="containsText" text="EARLY"/>
    <x:cfRule type="containsText" dxfId="2" priority="3" operator="containsText" text="ON TIME"/>
    <x:cfRule type="containsText" dxfId="3" priority="4" operator="containsText" text="NOT REPORTED"/>
  </x:conditionalFormatting>
  <x:pageMargins left="0.7" right="0.7" top="0.75" bottom="0.75" header="0.3" footer="0.3"/>
</x:worksheet>
</file>